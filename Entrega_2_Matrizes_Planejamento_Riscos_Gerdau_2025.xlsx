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05285923190\Documents\ENTREGA_FINAL_GERDAU_2025\04_planilhas\"/>
    </mc:Choice>
  </mc:AlternateContent>
  <xr:revisionPtr revIDLastSave="0" documentId="13_ncr:1_{10D1F00C-39CB-416D-9CE1-A60384132796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Materialidade" sheetId="1" r:id="rId1"/>
    <sheet name="Riscos" sheetId="2" r:id="rId2"/>
    <sheet name="Respostas" sheetId="3" r:id="rId3"/>
    <sheet name="Fraude" sheetId="4" r:id="rId4"/>
    <sheet name="Cronograma" sheetId="5" r:id="rId5"/>
    <sheet name="Normas" sheetId="6" r:id="rId6"/>
    <sheet name="Fontes" sheetId="7" r:id="rId7"/>
    <sheet name="Checklist" sheetId="8" r:id="rId8"/>
  </sheets>
  <definedNames>
    <definedName name="_xlnm._FilterDatabase" localSheetId="7" hidden="1">Checklist!$A$1:$D$14</definedName>
    <definedName name="_xlnm._FilterDatabase" localSheetId="4" hidden="1">Cronograma!$A$1:$D$7</definedName>
    <definedName name="_xlnm._FilterDatabase" localSheetId="6" hidden="1">Fontes!$A$1:$H$5</definedName>
    <definedName name="_xlnm._FilterDatabase" localSheetId="3" hidden="1">Fraude!$A$1:$F$5</definedName>
    <definedName name="_xlnm._FilterDatabase" localSheetId="0" hidden="1">Materialidade!$A$1:$E$9</definedName>
    <definedName name="_xlnm._FilterDatabase" localSheetId="5" hidden="1">Normas!$A$1:$E$14</definedName>
    <definedName name="_xlnm._FilterDatabase" localSheetId="2" hidden="1">Respostas!$A$1:$G$11</definedName>
    <definedName name="_xlnm._FilterDatabase" localSheetId="1" hidden="1">Riscos!$A$1:$J$11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  <c r="D7" i="1" s="1"/>
  <c r="D9" i="1" s="1"/>
  <c r="D8" i="1" l="1"/>
</calcChain>
</file>

<file path=xl/sharedStrings.xml><?xml version="1.0" encoding="utf-8"?>
<sst xmlns="http://schemas.openxmlformats.org/spreadsheetml/2006/main" count="434" uniqueCount="267">
  <si>
    <t>Base</t>
  </si>
  <si>
    <t>Saldo R$ mil</t>
  </si>
  <si>
    <t>Percentual</t>
  </si>
  <si>
    <t>Materialidade R$ mil</t>
  </si>
  <si>
    <t>Escolha / comentario</t>
  </si>
  <si>
    <t>Receita líquida</t>
  </si>
  <si>
    <t>Escolhida</t>
  </si>
  <si>
    <t>Ativo total</t>
  </si>
  <si>
    <t>Corroboração</t>
  </si>
  <si>
    <t>Patrimônio líquido</t>
  </si>
  <si>
    <t>Lucro antes dos impostos</t>
  </si>
  <si>
    <t>Volátil</t>
  </si>
  <si>
    <t>EBITDA ajustado</t>
  </si>
  <si>
    <t>Não contábil</t>
  </si>
  <si>
    <t>Materialidade global</t>
  </si>
  <si>
    <t>0,5% receita</t>
  </si>
  <si>
    <t>Materialidade de execução</t>
  </si>
  <si>
    <t>70%</t>
  </si>
  <si>
    <t>70% global</t>
  </si>
  <si>
    <t>Claramente trivial</t>
  </si>
  <si>
    <t>5%</t>
  </si>
  <si>
    <t>5% global</t>
  </si>
  <si>
    <t>ID</t>
  </si>
  <si>
    <t>Conta / processo</t>
  </si>
  <si>
    <t>Afirmações</t>
  </si>
  <si>
    <t>Probabilidade</t>
  </si>
  <si>
    <t>Magnitude</t>
  </si>
  <si>
    <t>Risco inerente</t>
  </si>
  <si>
    <t>Significativo?</t>
  </si>
  <si>
    <t>Fundamento</t>
  </si>
  <si>
    <t>PT resposta</t>
  </si>
  <si>
    <t>R1</t>
  </si>
  <si>
    <t>Receita</t>
  </si>
  <si>
    <t>69.858.532</t>
  </si>
  <si>
    <t>Ocorrência/corte/exatidão</t>
  </si>
  <si>
    <t>Alta</t>
  </si>
  <si>
    <t>Significativo</t>
  </si>
  <si>
    <t>Sim</t>
  </si>
  <si>
    <t>CIF/FOB, pressão de desempenho e múltiplas jurisdições.</t>
  </si>
  <si>
    <t>PT 330</t>
  </si>
  <si>
    <t>R2</t>
  </si>
  <si>
    <t>Imobilizado</t>
  </si>
  <si>
    <t>30.640.833</t>
  </si>
  <si>
    <t>Existência/avaliação</t>
  </si>
  <si>
    <t>Alto</t>
  </si>
  <si>
    <t>Não</t>
  </si>
  <si>
    <t>37,5% do ativo; CAPEX e impairment.</t>
  </si>
  <si>
    <t>R3</t>
  </si>
  <si>
    <t>Estoques</t>
  </si>
  <si>
    <t>14.731.081</t>
  </si>
  <si>
    <t>Volume físico, VLR e commodities.</t>
  </si>
  <si>
    <t>R4</t>
  </si>
  <si>
    <t>Ágio</t>
  </si>
  <si>
    <t>11.995.727</t>
  </si>
  <si>
    <t>Avaliação</t>
  </si>
  <si>
    <t>PAA e premissas de FCD.</t>
  </si>
  <si>
    <t>R5</t>
  </si>
  <si>
    <t>Tributos diferidos líquidos</t>
  </si>
  <si>
    <t>2.208.152</t>
  </si>
  <si>
    <t>PAA; lucros futuros por entidade.</t>
  </si>
  <si>
    <t>R6</t>
  </si>
  <si>
    <t>Contingências provisionadas</t>
  </si>
  <si>
    <t>2.292.412</t>
  </si>
  <si>
    <t>Completude/avaliação</t>
  </si>
  <si>
    <t>Julgamento jurídico e exposições possíveis.</t>
  </si>
  <si>
    <t>R7</t>
  </si>
  <si>
    <t>Dívidas financeiras</t>
  </si>
  <si>
    <t>14.182.151</t>
  </si>
  <si>
    <t>Completude/classificação</t>
  </si>
  <si>
    <t>Moedas, bonds, debêntures e derivativos.</t>
  </si>
  <si>
    <t>R8</t>
  </si>
  <si>
    <t>Consolidação e segmentos</t>
  </si>
  <si>
    <t>N/A</t>
  </si>
  <si>
    <t>Grupo multinacional, IAS 29 e nova segmentação.</t>
  </si>
  <si>
    <t>R9</t>
  </si>
  <si>
    <t>Override</t>
  </si>
  <si>
    <t>Todas</t>
  </si>
  <si>
    <t>Risco de fraude presumido.</t>
  </si>
  <si>
    <t>R10</t>
  </si>
  <si>
    <t>Aquisições</t>
  </si>
  <si>
    <t>699.118 caixa</t>
  </si>
  <si>
    <t>Avaliação/completude</t>
  </si>
  <si>
    <t>Combinações 2025 e valores justos.</t>
  </si>
  <si>
    <t>Risco</t>
  </si>
  <si>
    <t>Classificação controle</t>
  </si>
  <si>
    <t>Teste de controle</t>
  </si>
  <si>
    <t>Classificação substantivo</t>
  </si>
  <si>
    <t>Procedimento substantivo</t>
  </si>
  <si>
    <t>Época</t>
  </si>
  <si>
    <t>Extensão</t>
  </si>
  <si>
    <t>R1 Receita</t>
  </si>
  <si>
    <t>PL</t>
  </si>
  <si>
    <t>Testar controles de pedido-expedição-faturamento; amostra por Incoterm.</t>
  </si>
  <si>
    <t>Testes de corte 15 dias antes/depois; notas de crédito; analítica mensal.</t>
  </si>
  <si>
    <t>Fim do período</t>
  </si>
  <si>
    <t>Cobrir itens &gt;ME e amostra complementar.</t>
  </si>
  <si>
    <t>R2 Imobilizado</t>
  </si>
  <si>
    <t>Aprovação de CAPEX, entrada em operação e baixas.</t>
  </si>
  <si>
    <t>EP+PL</t>
  </si>
  <si>
    <t>Conciliar Nota 10; testar amostra sintética no bloco 4; inspecionar ativos apenas se acesso.</t>
  </si>
  <si>
    <t>Ano/fim</t>
  </si>
  <si>
    <t>Movimentações materiais e projetos relevantes.</t>
  </si>
  <si>
    <t>R3 Estoques</t>
  </si>
  <si>
    <t>Controles de inventário e custeio.</t>
  </si>
  <si>
    <t>Conciliar Nota 6; observação física e VLR planejados.</t>
  </si>
  <si>
    <t>31/12</t>
  </si>
  <si>
    <t>Locais e itens relevantes.</t>
  </si>
  <si>
    <t>R4 Ágio</t>
  </si>
  <si>
    <t>Governança do modelo e aprovação do orçamento.</t>
  </si>
  <si>
    <t>Recalcular sensibilidade pública e confrontar premissas com mercado.</t>
  </si>
  <si>
    <t>Dezembro</t>
  </si>
  <si>
    <t>UGC América do Norte e Brasil.</t>
  </si>
  <si>
    <t>R5 Tributos diferidos</t>
  </si>
  <si>
    <t>Aprovação dos estudos por entidade.</t>
  </si>
  <si>
    <t>Conciliar Nota 8; testar bases fiscais e projeções se acesso.</t>
  </si>
  <si>
    <t>Fim</t>
  </si>
  <si>
    <t>Entidades com saldos materiais.</t>
  </si>
  <si>
    <t>R6 Contingências</t>
  </si>
  <si>
    <t>Controles de atualização jurídico-contábil.</t>
  </si>
  <si>
    <t>Ler Nota 19; cartas legais e atas planejadas.</t>
  </si>
  <si>
    <t>Processos acima do trivial.</t>
  </si>
  <si>
    <t>R7 Dívidas</t>
  </si>
  <si>
    <t>Contratações, pagamentos e covenants.</t>
  </si>
  <si>
    <t>Conciliar Notas 15-17; confirmações bancárias não enviadas.</t>
  </si>
  <si>
    <t>100% de instrumentos materiais.</t>
  </si>
  <si>
    <t>R8 Consolidação</t>
  </si>
  <si>
    <t>Fechamento, eliminações e conversão.</t>
  </si>
  <si>
    <t>Conciliar segmentos; testar pacotes e eliminações se acesso.</t>
  </si>
  <si>
    <t>Componentes materiais.</t>
  </si>
  <si>
    <t>R9 Override</t>
  </si>
  <si>
    <t>Acessos e aprovação de lançamentos.</t>
  </si>
  <si>
    <t>JE testing, estimativas e transações incomuns.</t>
  </si>
  <si>
    <t>100% da população por filtros e amostra.</t>
  </si>
  <si>
    <t>R10 Aquisições</t>
  </si>
  <si>
    <t>Aprovação e purchase accounting.</t>
  </si>
  <si>
    <t>Ler Nota 3.4; contratos, laudos e cálculos apenas se acesso.</t>
  </si>
  <si>
    <t>Datas de aquisição</t>
  </si>
  <si>
    <t>Todas as aquisições de 2025.</t>
  </si>
  <si>
    <t>Incentivo / pressão</t>
  </si>
  <si>
    <t>Oportunidade</t>
  </si>
  <si>
    <t>Racionalização</t>
  </si>
  <si>
    <t>Resposta</t>
  </si>
  <si>
    <t>Status</t>
  </si>
  <si>
    <t>Pressão por margens</t>
  </si>
  <si>
    <t>CIF/FOB e operações globais</t>
  </si>
  <si>
    <t>Antecipar desempenho</t>
  </si>
  <si>
    <t>Corte, devoluções e JE testing</t>
  </si>
  <si>
    <t>Planejado</t>
  </si>
  <si>
    <t>Impairment</t>
  </si>
  <si>
    <t>Deterioração no Brasil</t>
  </si>
  <si>
    <t>Premissas subjetivas</t>
  </si>
  <si>
    <t>Otimismo</t>
  </si>
  <si>
    <t>Backtesting e sensibilidade</t>
  </si>
  <si>
    <t>Parcial público</t>
  </si>
  <si>
    <t>Tributos diferidos</t>
  </si>
  <si>
    <t>Manter ativos</t>
  </si>
  <si>
    <t>Planos por entidade</t>
  </si>
  <si>
    <t>Confiança em recuperação</t>
  </si>
  <si>
    <t>Bases fiscais e projeções</t>
  </si>
  <si>
    <t>Poder de ajuste</t>
  </si>
  <si>
    <t>Lançamentos manuais</t>
  </si>
  <si>
    <t>Não recorrente</t>
  </si>
  <si>
    <t>JE testing</t>
  </si>
  <si>
    <t>Fase</t>
  </si>
  <si>
    <t>Atividade</t>
  </si>
  <si>
    <t>Dependência</t>
  </si>
  <si>
    <t>1</t>
  </si>
  <si>
    <t>Estrutura e fontes</t>
  </si>
  <si>
    <t>Nenhuma</t>
  </si>
  <si>
    <t>Concluída</t>
  </si>
  <si>
    <t>2</t>
  </si>
  <si>
    <t>Planejamento e riscos</t>
  </si>
  <si>
    <t>Fase 1</t>
  </si>
  <si>
    <t>Concluída neste pacote</t>
  </si>
  <si>
    <t>3</t>
  </si>
  <si>
    <t>Evidência e analíticos</t>
  </si>
  <si>
    <t>Fase 2</t>
  </si>
  <si>
    <t>Próxima</t>
  </si>
  <si>
    <t>4</t>
  </si>
  <si>
    <t>Base sintética e amostragem</t>
  </si>
  <si>
    <t>Fases 2-3</t>
  </si>
  <si>
    <t>Pendente</t>
  </si>
  <si>
    <t>5</t>
  </si>
  <si>
    <t>Estimativas, grupo e conclusão</t>
  </si>
  <si>
    <t>Fases anteriores</t>
  </si>
  <si>
    <t>6</t>
  </si>
  <si>
    <t>Consolidação e validação final</t>
  </si>
  <si>
    <t>PT</t>
  </si>
  <si>
    <t>Versão</t>
  </si>
  <si>
    <t>Tema</t>
  </si>
  <si>
    <t>Fonte oficial</t>
  </si>
  <si>
    <t>Data de acesso</t>
  </si>
  <si>
    <t>PT EC</t>
  </si>
  <si>
    <t>Estrutura Conceitual</t>
  </si>
  <si>
    <t>Trabalhos de asseguração</t>
  </si>
  <si>
    <t>https://cfc.org.br/tecnica/normas-brasileiras-de-contabilidade/nbc-ta-de-auditoria-independente/</t>
  </si>
  <si>
    <t>25/10/2026</t>
  </si>
  <si>
    <t>PT 200</t>
  </si>
  <si>
    <t>Objetivos gerais</t>
  </si>
  <si>
    <t>PT 210</t>
  </si>
  <si>
    <t>Termos</t>
  </si>
  <si>
    <t>PT 220</t>
  </si>
  <si>
    <t>Qualidade</t>
  </si>
  <si>
    <t>PT 230</t>
  </si>
  <si>
    <t>Documentação</t>
  </si>
  <si>
    <t>PT 240</t>
  </si>
  <si>
    <t>Fraude</t>
  </si>
  <si>
    <t>PT 250</t>
  </si>
  <si>
    <t>Original vigente</t>
  </si>
  <si>
    <t>Leis</t>
  </si>
  <si>
    <t>PT 260</t>
  </si>
  <si>
    <t>Governança</t>
  </si>
  <si>
    <t>PT 265</t>
  </si>
  <si>
    <t>Deficiências</t>
  </si>
  <si>
    <t>PT 300</t>
  </si>
  <si>
    <t>Planejamento</t>
  </si>
  <si>
    <t>PT 315</t>
  </si>
  <si>
    <t>Riscos</t>
  </si>
  <si>
    <t>PT 320</t>
  </si>
  <si>
    <t>Materialidade</t>
  </si>
  <si>
    <t>Respostas</t>
  </si>
  <si>
    <t>Origem</t>
  </si>
  <si>
    <t>Documento</t>
  </si>
  <si>
    <t>Exercicio</t>
  </si>
  <si>
    <t>Páginas</t>
  </si>
  <si>
    <t>URL / arquivo</t>
  </si>
  <si>
    <t>Acesso</t>
  </si>
  <si>
    <t>Uso</t>
  </si>
  <si>
    <t>FONTE-001</t>
  </si>
  <si>
    <t>Gerdau S.A.</t>
  </si>
  <si>
    <t>Demonstrações financeiras e relatório do auditor independente 2025</t>
  </si>
  <si>
    <t>2025</t>
  </si>
  <si>
    <t>pp.22-109</t>
  </si>
  <si>
    <t>Arquivo anexado</t>
  </si>
  <si>
    <t>FONTE-002</t>
  </si>
  <si>
    <t>CFC</t>
  </si>
  <si>
    <t>NBC TA de Auditoria Independente</t>
  </si>
  <si>
    <t>vigente</t>
  </si>
  <si>
    <t>Normas vigentes</t>
  </si>
  <si>
    <t>FONTE-006</t>
  </si>
  <si>
    <t>Gerdau RI</t>
  </si>
  <si>
    <t>Práticas de Governança Corporativa</t>
  </si>
  <si>
    <t>Página web</t>
  </si>
  <si>
    <t>https://ri.gerdau.com/governanca-corporativa/praticas-de-governanca-corporativa/</t>
  </si>
  <si>
    <t>FONTE-007</t>
  </si>
  <si>
    <t>CVM</t>
  </si>
  <si>
    <t>Legislação e regulamentação de companhias</t>
  </si>
  <si>
    <t>https://www.gov.br/cvm/pt-br/assuntos/regulados/consultas-por-participante/companhias/legislacao-e-regulamentacao</t>
  </si>
  <si>
    <t>Requisito</t>
  </si>
  <si>
    <t>Atendido?</t>
  </si>
  <si>
    <t>Evidencia</t>
  </si>
  <si>
    <t>Observação</t>
  </si>
  <si>
    <t>13 PTs do bloco</t>
  </si>
  <si>
    <t>DOCX e abas correspondentes</t>
  </si>
  <si>
    <t>Revisado em 25/10/2026</t>
  </si>
  <si>
    <t>Estrutura minima por PT</t>
  </si>
  <si>
    <t>Três classificações</t>
  </si>
  <si>
    <t>Materialidade fundamentada</t>
  </si>
  <si>
    <t>Matriz de riscos por afirmação</t>
  </si>
  <si>
    <t>Fraude receita e override</t>
  </si>
  <si>
    <t>Carta didática não enviada</t>
  </si>
  <si>
    <t>Comunicação governança não enviada</t>
  </si>
  <si>
    <t>Deficiências como hipóteses</t>
  </si>
  <si>
    <t>Respostas por risco</t>
  </si>
  <si>
    <t>Fontes com página e acesso</t>
  </si>
  <si>
    <t>Campos de identificação com traços</t>
  </si>
  <si>
    <t>Sem opinião própria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</si>
</sst>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3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0" customWidth="1"/>
    <col min="3" max="3" width="18" customWidth="1"/>
    <col min="4" max="4" width="24" customWidth="1"/>
    <col min="5" max="5" width="3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69858532</v>
      </c>
      <c r="C2" s="4">
        <v>5.0000000000000001E-3</v>
      </c>
      <c r="D2" s="5">
        <f>B2*C2</f>
        <v>349292.66000000003</v>
      </c>
      <c r="E2" s="2" t="s">
        <v>6</v>
      </c>
    </row>
    <row r="3" spans="1:5" x14ac:dyDescent="0.3">
      <c r="A3" s="2" t="s">
        <v>7</v>
      </c>
      <c r="B3" s="3">
        <v>81688175</v>
      </c>
      <c r="C3" s="4">
        <v>5.0000000000000001E-3</v>
      </c>
      <c r="D3" s="5">
        <f>B3*C3</f>
        <v>408440.875</v>
      </c>
      <c r="E3" s="2" t="s">
        <v>8</v>
      </c>
    </row>
    <row r="4" spans="1:5" x14ac:dyDescent="0.3">
      <c r="A4" s="2" t="s">
        <v>9</v>
      </c>
      <c r="B4" s="3">
        <v>53798489</v>
      </c>
      <c r="C4" s="4">
        <v>0.01</v>
      </c>
      <c r="D4" s="5">
        <f>B4*C4</f>
        <v>537984.89</v>
      </c>
      <c r="E4" s="2" t="s">
        <v>8</v>
      </c>
    </row>
    <row r="5" spans="1:5" x14ac:dyDescent="0.3">
      <c r="A5" s="2" t="s">
        <v>10</v>
      </c>
      <c r="B5" s="3">
        <v>2524447</v>
      </c>
      <c r="C5" s="4">
        <v>0.05</v>
      </c>
      <c r="D5" s="5">
        <f>B5*C5</f>
        <v>126222.35</v>
      </c>
      <c r="E5" s="2" t="s">
        <v>11</v>
      </c>
    </row>
    <row r="6" spans="1:5" x14ac:dyDescent="0.3">
      <c r="A6" s="2" t="s">
        <v>12</v>
      </c>
      <c r="B6" s="3">
        <v>10073722</v>
      </c>
      <c r="C6" s="4">
        <v>0.05</v>
      </c>
      <c r="D6" s="5">
        <f>B6*C6</f>
        <v>503686.10000000003</v>
      </c>
      <c r="E6" s="2" t="s">
        <v>13</v>
      </c>
    </row>
    <row r="7" spans="1:5" x14ac:dyDescent="0.3">
      <c r="A7" s="2" t="s">
        <v>14</v>
      </c>
      <c r="B7" s="2"/>
      <c r="C7" s="2"/>
      <c r="D7" s="2">
        <f>D2</f>
        <v>349292.66000000003</v>
      </c>
      <c r="E7" s="2" t="s">
        <v>15</v>
      </c>
    </row>
    <row r="8" spans="1:5" x14ac:dyDescent="0.3">
      <c r="A8" s="2" t="s">
        <v>16</v>
      </c>
      <c r="B8" s="2"/>
      <c r="C8" s="2" t="s">
        <v>17</v>
      </c>
      <c r="D8" s="2">
        <f>D7*70%</f>
        <v>244504.86199999999</v>
      </c>
      <c r="E8" s="2" t="s">
        <v>18</v>
      </c>
    </row>
    <row r="9" spans="1:5" x14ac:dyDescent="0.3">
      <c r="A9" s="2" t="s">
        <v>19</v>
      </c>
      <c r="B9" s="2"/>
      <c r="C9" s="2" t="s">
        <v>20</v>
      </c>
      <c r="D9" s="2">
        <f>D7*5%</f>
        <v>17464.633000000002</v>
      </c>
      <c r="E9" s="2" t="s">
        <v>21</v>
      </c>
    </row>
  </sheetData>
  <autoFilter ref="A1:E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18" customWidth="1"/>
    <col min="4" max="4" width="25" customWidth="1"/>
    <col min="5" max="6" width="16" customWidth="1"/>
    <col min="7" max="7" width="18" customWidth="1"/>
    <col min="8" max="8" width="16" customWidth="1"/>
    <col min="9" max="9" width="55" customWidth="1"/>
    <col min="10" max="10" width="18" customWidth="1"/>
  </cols>
  <sheetData>
    <row r="1" spans="1:10" x14ac:dyDescent="0.3">
      <c r="A1" s="1" t="s">
        <v>22</v>
      </c>
      <c r="B1" s="1" t="s">
        <v>23</v>
      </c>
      <c r="C1" s="1" t="s">
        <v>1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</row>
    <row r="3" spans="1:10" x14ac:dyDescent="0.3">
      <c r="A3" s="2" t="s">
        <v>40</v>
      </c>
      <c r="B3" s="2" t="s">
        <v>41</v>
      </c>
      <c r="C3" s="2" t="s">
        <v>42</v>
      </c>
      <c r="D3" s="2" t="s">
        <v>43</v>
      </c>
      <c r="E3" s="2" t="s">
        <v>35</v>
      </c>
      <c r="F3" s="2" t="s">
        <v>35</v>
      </c>
      <c r="G3" s="2" t="s">
        <v>44</v>
      </c>
      <c r="H3" s="2" t="s">
        <v>45</v>
      </c>
      <c r="I3" s="2" t="s">
        <v>46</v>
      </c>
      <c r="J3" s="2" t="s">
        <v>39</v>
      </c>
    </row>
    <row r="4" spans="1:10" x14ac:dyDescent="0.3">
      <c r="A4" s="2" t="s">
        <v>47</v>
      </c>
      <c r="B4" s="2" t="s">
        <v>48</v>
      </c>
      <c r="C4" s="2" t="s">
        <v>49</v>
      </c>
      <c r="D4" s="2" t="s">
        <v>43</v>
      </c>
      <c r="E4" s="2" t="s">
        <v>35</v>
      </c>
      <c r="F4" s="2" t="s">
        <v>35</v>
      </c>
      <c r="G4" s="2" t="s">
        <v>44</v>
      </c>
      <c r="H4" s="2" t="s">
        <v>45</v>
      </c>
      <c r="I4" s="2" t="s">
        <v>50</v>
      </c>
      <c r="J4" s="2" t="s">
        <v>39</v>
      </c>
    </row>
    <row r="5" spans="1:10" x14ac:dyDescent="0.3">
      <c r="A5" s="2" t="s">
        <v>51</v>
      </c>
      <c r="B5" s="2" t="s">
        <v>52</v>
      </c>
      <c r="C5" s="2" t="s">
        <v>53</v>
      </c>
      <c r="D5" s="2" t="s">
        <v>54</v>
      </c>
      <c r="E5" s="2" t="s">
        <v>35</v>
      </c>
      <c r="F5" s="2" t="s">
        <v>35</v>
      </c>
      <c r="G5" s="2" t="s">
        <v>36</v>
      </c>
      <c r="H5" s="2" t="s">
        <v>37</v>
      </c>
      <c r="I5" s="2" t="s">
        <v>55</v>
      </c>
      <c r="J5" s="2" t="s">
        <v>39</v>
      </c>
    </row>
    <row r="6" spans="1:10" x14ac:dyDescent="0.3">
      <c r="A6" s="2" t="s">
        <v>56</v>
      </c>
      <c r="B6" s="2" t="s">
        <v>57</v>
      </c>
      <c r="C6" s="2" t="s">
        <v>58</v>
      </c>
      <c r="D6" s="2" t="s">
        <v>54</v>
      </c>
      <c r="E6" s="2" t="s">
        <v>35</v>
      </c>
      <c r="F6" s="2" t="s">
        <v>35</v>
      </c>
      <c r="G6" s="2" t="s">
        <v>36</v>
      </c>
      <c r="H6" s="2" t="s">
        <v>37</v>
      </c>
      <c r="I6" s="2" t="s">
        <v>59</v>
      </c>
      <c r="J6" s="2" t="s">
        <v>39</v>
      </c>
    </row>
    <row r="7" spans="1:10" x14ac:dyDescent="0.3">
      <c r="A7" s="2" t="s">
        <v>60</v>
      </c>
      <c r="B7" s="2" t="s">
        <v>61</v>
      </c>
      <c r="C7" s="2" t="s">
        <v>62</v>
      </c>
      <c r="D7" s="2" t="s">
        <v>63</v>
      </c>
      <c r="E7" s="2" t="s">
        <v>35</v>
      </c>
      <c r="F7" s="2" t="s">
        <v>35</v>
      </c>
      <c r="G7" s="2" t="s">
        <v>44</v>
      </c>
      <c r="H7" s="2" t="s">
        <v>45</v>
      </c>
      <c r="I7" s="2" t="s">
        <v>64</v>
      </c>
      <c r="J7" s="2" t="s">
        <v>39</v>
      </c>
    </row>
    <row r="8" spans="1:10" x14ac:dyDescent="0.3">
      <c r="A8" s="2" t="s">
        <v>65</v>
      </c>
      <c r="B8" s="2" t="s">
        <v>66</v>
      </c>
      <c r="C8" s="2" t="s">
        <v>67</v>
      </c>
      <c r="D8" s="2" t="s">
        <v>68</v>
      </c>
      <c r="E8" s="2" t="s">
        <v>35</v>
      </c>
      <c r="F8" s="2" t="s">
        <v>35</v>
      </c>
      <c r="G8" s="2" t="s">
        <v>44</v>
      </c>
      <c r="H8" s="2" t="s">
        <v>45</v>
      </c>
      <c r="I8" s="2" t="s">
        <v>69</v>
      </c>
      <c r="J8" s="2" t="s">
        <v>39</v>
      </c>
    </row>
    <row r="9" spans="1:10" x14ac:dyDescent="0.3">
      <c r="A9" s="2" t="s">
        <v>70</v>
      </c>
      <c r="B9" s="2" t="s">
        <v>71</v>
      </c>
      <c r="C9" s="2" t="s">
        <v>72</v>
      </c>
      <c r="D9" s="2" t="s">
        <v>68</v>
      </c>
      <c r="E9" s="2" t="s">
        <v>35</v>
      </c>
      <c r="F9" s="2" t="s">
        <v>35</v>
      </c>
      <c r="G9" s="2" t="s">
        <v>44</v>
      </c>
      <c r="H9" s="2" t="s">
        <v>45</v>
      </c>
      <c r="I9" s="2" t="s">
        <v>73</v>
      </c>
      <c r="J9" s="2" t="s">
        <v>39</v>
      </c>
    </row>
    <row r="10" spans="1:10" x14ac:dyDescent="0.3">
      <c r="A10" s="2" t="s">
        <v>74</v>
      </c>
      <c r="B10" s="2" t="s">
        <v>75</v>
      </c>
      <c r="C10" s="2" t="s">
        <v>72</v>
      </c>
      <c r="D10" s="2" t="s">
        <v>76</v>
      </c>
      <c r="E10" s="2" t="s">
        <v>35</v>
      </c>
      <c r="F10" s="2" t="s">
        <v>35</v>
      </c>
      <c r="G10" s="2" t="s">
        <v>36</v>
      </c>
      <c r="H10" s="2" t="s">
        <v>37</v>
      </c>
      <c r="I10" s="2" t="s">
        <v>77</v>
      </c>
      <c r="J10" s="2" t="s">
        <v>39</v>
      </c>
    </row>
    <row r="11" spans="1:10" x14ac:dyDescent="0.3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35</v>
      </c>
      <c r="F11" s="2" t="s">
        <v>35</v>
      </c>
      <c r="G11" s="2" t="s">
        <v>44</v>
      </c>
      <c r="H11" s="2" t="s">
        <v>45</v>
      </c>
      <c r="I11" s="2" t="s">
        <v>82</v>
      </c>
      <c r="J11" s="2" t="s">
        <v>39</v>
      </c>
    </row>
  </sheetData>
  <autoFilter ref="A1:J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0" customWidth="1"/>
    <col min="3" max="3" width="55" customWidth="1"/>
    <col min="4" max="4" width="22" customWidth="1"/>
    <col min="5" max="5" width="65" customWidth="1"/>
    <col min="6" max="6" width="18" customWidth="1"/>
    <col min="7" max="7" width="35" customWidth="1"/>
  </cols>
  <sheetData>
    <row r="1" spans="1:7" ht="28.8" x14ac:dyDescent="0.3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ht="28.8" x14ac:dyDescent="0.3">
      <c r="A2" s="2" t="s">
        <v>90</v>
      </c>
      <c r="B2" s="2" t="s">
        <v>91</v>
      </c>
      <c r="C2" s="2" t="s">
        <v>92</v>
      </c>
      <c r="D2" s="2" t="s">
        <v>91</v>
      </c>
      <c r="E2" s="2" t="s">
        <v>93</v>
      </c>
      <c r="F2" s="2" t="s">
        <v>94</v>
      </c>
      <c r="G2" s="2" t="s">
        <v>95</v>
      </c>
    </row>
    <row r="3" spans="1:7" ht="28.8" x14ac:dyDescent="0.3">
      <c r="A3" s="2" t="s">
        <v>96</v>
      </c>
      <c r="B3" s="2" t="s">
        <v>91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</row>
    <row r="4" spans="1:7" x14ac:dyDescent="0.3">
      <c r="A4" s="2" t="s">
        <v>102</v>
      </c>
      <c r="B4" s="2" t="s">
        <v>91</v>
      </c>
      <c r="C4" s="2" t="s">
        <v>103</v>
      </c>
      <c r="D4" s="2" t="s">
        <v>98</v>
      </c>
      <c r="E4" s="2" t="s">
        <v>104</v>
      </c>
      <c r="F4" s="2" t="s">
        <v>105</v>
      </c>
      <c r="G4" s="2" t="s">
        <v>106</v>
      </c>
    </row>
    <row r="5" spans="1:7" x14ac:dyDescent="0.3">
      <c r="A5" s="2" t="s">
        <v>107</v>
      </c>
      <c r="B5" s="2" t="s">
        <v>91</v>
      </c>
      <c r="C5" s="2" t="s">
        <v>108</v>
      </c>
      <c r="D5" s="2" t="s">
        <v>98</v>
      </c>
      <c r="E5" s="2" t="s">
        <v>109</v>
      </c>
      <c r="F5" s="2" t="s">
        <v>110</v>
      </c>
      <c r="G5" s="2" t="s">
        <v>111</v>
      </c>
    </row>
    <row r="6" spans="1:7" x14ac:dyDescent="0.3">
      <c r="A6" s="2" t="s">
        <v>112</v>
      </c>
      <c r="B6" s="2" t="s">
        <v>91</v>
      </c>
      <c r="C6" s="2" t="s">
        <v>113</v>
      </c>
      <c r="D6" s="2" t="s">
        <v>98</v>
      </c>
      <c r="E6" s="2" t="s">
        <v>114</v>
      </c>
      <c r="F6" s="2" t="s">
        <v>115</v>
      </c>
      <c r="G6" s="2" t="s">
        <v>116</v>
      </c>
    </row>
    <row r="7" spans="1:7" x14ac:dyDescent="0.3">
      <c r="A7" s="2" t="s">
        <v>117</v>
      </c>
      <c r="B7" s="2" t="s">
        <v>91</v>
      </c>
      <c r="C7" s="2" t="s">
        <v>118</v>
      </c>
      <c r="D7" s="2" t="s">
        <v>98</v>
      </c>
      <c r="E7" s="2" t="s">
        <v>119</v>
      </c>
      <c r="F7" s="2" t="s">
        <v>115</v>
      </c>
      <c r="G7" s="2" t="s">
        <v>120</v>
      </c>
    </row>
    <row r="8" spans="1:7" x14ac:dyDescent="0.3">
      <c r="A8" s="2" t="s">
        <v>121</v>
      </c>
      <c r="B8" s="2" t="s">
        <v>91</v>
      </c>
      <c r="C8" s="2" t="s">
        <v>122</v>
      </c>
      <c r="D8" s="2" t="s">
        <v>98</v>
      </c>
      <c r="E8" s="2" t="s">
        <v>123</v>
      </c>
      <c r="F8" s="2" t="s">
        <v>115</v>
      </c>
      <c r="G8" s="2" t="s">
        <v>124</v>
      </c>
    </row>
    <row r="9" spans="1:7" x14ac:dyDescent="0.3">
      <c r="A9" s="2" t="s">
        <v>125</v>
      </c>
      <c r="B9" s="2" t="s">
        <v>91</v>
      </c>
      <c r="C9" s="2" t="s">
        <v>126</v>
      </c>
      <c r="D9" s="2" t="s">
        <v>98</v>
      </c>
      <c r="E9" s="2" t="s">
        <v>127</v>
      </c>
      <c r="F9" s="2" t="s">
        <v>115</v>
      </c>
      <c r="G9" s="2" t="s">
        <v>128</v>
      </c>
    </row>
    <row r="10" spans="1:7" ht="28.8" x14ac:dyDescent="0.3">
      <c r="A10" s="2" t="s">
        <v>129</v>
      </c>
      <c r="B10" s="2" t="s">
        <v>91</v>
      </c>
      <c r="C10" s="2" t="s">
        <v>130</v>
      </c>
      <c r="D10" s="2" t="s">
        <v>91</v>
      </c>
      <c r="E10" s="2" t="s">
        <v>131</v>
      </c>
      <c r="F10" s="2" t="s">
        <v>100</v>
      </c>
      <c r="G10" s="2" t="s">
        <v>132</v>
      </c>
    </row>
    <row r="11" spans="1:7" x14ac:dyDescent="0.3">
      <c r="A11" s="2" t="s">
        <v>133</v>
      </c>
      <c r="B11" s="2" t="s">
        <v>91</v>
      </c>
      <c r="C11" s="2" t="s">
        <v>134</v>
      </c>
      <c r="D11" s="2" t="s">
        <v>98</v>
      </c>
      <c r="E11" s="2" t="s">
        <v>135</v>
      </c>
      <c r="F11" s="2" t="s">
        <v>136</v>
      </c>
      <c r="G11" s="2" t="s">
        <v>137</v>
      </c>
    </row>
  </sheetData>
  <autoFilter ref="A1:G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35" customWidth="1"/>
    <col min="4" max="4" width="30" customWidth="1"/>
    <col min="5" max="5" width="45" customWidth="1"/>
    <col min="6" max="6" width="20" customWidth="1"/>
  </cols>
  <sheetData>
    <row r="1" spans="1:6" x14ac:dyDescent="0.3">
      <c r="A1" s="1" t="s">
        <v>83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3">
      <c r="A2" s="2" t="s">
        <v>32</v>
      </c>
      <c r="B2" s="2" t="s">
        <v>143</v>
      </c>
      <c r="C2" s="2" t="s">
        <v>144</v>
      </c>
      <c r="D2" s="2" t="s">
        <v>145</v>
      </c>
      <c r="E2" s="2" t="s">
        <v>146</v>
      </c>
      <c r="F2" s="2" t="s">
        <v>147</v>
      </c>
    </row>
    <row r="3" spans="1:6" x14ac:dyDescent="0.3">
      <c r="A3" s="2" t="s">
        <v>148</v>
      </c>
      <c r="B3" s="2" t="s">
        <v>149</v>
      </c>
      <c r="C3" s="2" t="s">
        <v>150</v>
      </c>
      <c r="D3" s="2" t="s">
        <v>151</v>
      </c>
      <c r="E3" s="2" t="s">
        <v>152</v>
      </c>
      <c r="F3" s="2" t="s">
        <v>153</v>
      </c>
    </row>
    <row r="4" spans="1:6" x14ac:dyDescent="0.3">
      <c r="A4" s="2" t="s">
        <v>154</v>
      </c>
      <c r="B4" s="2" t="s">
        <v>155</v>
      </c>
      <c r="C4" s="2" t="s">
        <v>156</v>
      </c>
      <c r="D4" s="2" t="s">
        <v>157</v>
      </c>
      <c r="E4" s="2" t="s">
        <v>158</v>
      </c>
      <c r="F4" s="2" t="s">
        <v>153</v>
      </c>
    </row>
    <row r="5" spans="1:6" x14ac:dyDescent="0.3">
      <c r="A5" s="2" t="s">
        <v>75</v>
      </c>
      <c r="B5" s="2" t="s">
        <v>159</v>
      </c>
      <c r="C5" s="2" t="s">
        <v>160</v>
      </c>
      <c r="D5" s="2" t="s">
        <v>161</v>
      </c>
      <c r="E5" s="2" t="s">
        <v>162</v>
      </c>
      <c r="F5" s="2" t="s">
        <v>147</v>
      </c>
    </row>
  </sheetData>
  <autoFilter ref="A1:F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5" customWidth="1"/>
    <col min="3" max="3" width="30" customWidth="1"/>
    <col min="4" max="4" width="24" customWidth="1"/>
  </cols>
  <sheetData>
    <row r="1" spans="1:4" x14ac:dyDescent="0.3">
      <c r="A1" s="1" t="s">
        <v>163</v>
      </c>
      <c r="B1" s="1" t="s">
        <v>164</v>
      </c>
      <c r="C1" s="1" t="s">
        <v>165</v>
      </c>
      <c r="D1" s="1" t="s">
        <v>142</v>
      </c>
    </row>
    <row r="2" spans="1:4" x14ac:dyDescent="0.3">
      <c r="A2" s="2" t="s">
        <v>166</v>
      </c>
      <c r="B2" s="2" t="s">
        <v>167</v>
      </c>
      <c r="C2" s="2" t="s">
        <v>168</v>
      </c>
      <c r="D2" s="2" t="s">
        <v>169</v>
      </c>
    </row>
    <row r="3" spans="1:4" x14ac:dyDescent="0.3">
      <c r="A3" s="2" t="s">
        <v>170</v>
      </c>
      <c r="B3" s="2" t="s">
        <v>171</v>
      </c>
      <c r="C3" s="2" t="s">
        <v>172</v>
      </c>
      <c r="D3" s="2" t="s">
        <v>173</v>
      </c>
    </row>
    <row r="4" spans="1:4" x14ac:dyDescent="0.3">
      <c r="A4" s="2" t="s">
        <v>174</v>
      </c>
      <c r="B4" s="2" t="s">
        <v>175</v>
      </c>
      <c r="C4" s="2" t="s">
        <v>176</v>
      </c>
      <c r="D4" s="2" t="s">
        <v>177</v>
      </c>
    </row>
    <row r="5" spans="1:4" x14ac:dyDescent="0.3">
      <c r="A5" s="2" t="s">
        <v>178</v>
      </c>
      <c r="B5" s="2" t="s">
        <v>179</v>
      </c>
      <c r="C5" s="2" t="s">
        <v>180</v>
      </c>
      <c r="D5" s="2" t="s">
        <v>181</v>
      </c>
    </row>
    <row r="6" spans="1:4" x14ac:dyDescent="0.3">
      <c r="A6" s="2" t="s">
        <v>182</v>
      </c>
      <c r="B6" s="2" t="s">
        <v>183</v>
      </c>
      <c r="C6" s="2" t="s">
        <v>184</v>
      </c>
      <c r="D6" s="2" t="s">
        <v>181</v>
      </c>
    </row>
    <row r="7" spans="1:4" x14ac:dyDescent="0.3">
      <c r="A7" s="2" t="s">
        <v>185</v>
      </c>
      <c r="B7" s="2" t="s">
        <v>186</v>
      </c>
      <c r="C7" s="2" t="s">
        <v>76</v>
      </c>
      <c r="D7" s="2" t="s">
        <v>181</v>
      </c>
    </row>
  </sheetData>
  <autoFilter ref="A1:D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36" customWidth="1"/>
    <col min="4" max="4" width="75" customWidth="1"/>
    <col min="5" max="5" width="18" customWidth="1"/>
  </cols>
  <sheetData>
    <row r="1" spans="1:5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</row>
    <row r="2" spans="1:5" ht="28.8" x14ac:dyDescent="0.3">
      <c r="A2" s="2" t="s">
        <v>192</v>
      </c>
      <c r="B2" s="2" t="s">
        <v>193</v>
      </c>
      <c r="C2" s="2" t="s">
        <v>194</v>
      </c>
      <c r="D2" s="2" t="s">
        <v>195</v>
      </c>
      <c r="E2" s="2" t="s">
        <v>196</v>
      </c>
    </row>
    <row r="3" spans="1:5" ht="28.8" x14ac:dyDescent="0.3">
      <c r="A3" s="2" t="s">
        <v>197</v>
      </c>
      <c r="B3" s="2" t="s">
        <v>31</v>
      </c>
      <c r="C3" s="2" t="s">
        <v>198</v>
      </c>
      <c r="D3" s="2" t="s">
        <v>195</v>
      </c>
      <c r="E3" s="2" t="s">
        <v>196</v>
      </c>
    </row>
    <row r="4" spans="1:5" ht="28.8" x14ac:dyDescent="0.3">
      <c r="A4" s="2" t="s">
        <v>199</v>
      </c>
      <c r="B4" s="2" t="s">
        <v>31</v>
      </c>
      <c r="C4" s="2" t="s">
        <v>200</v>
      </c>
      <c r="D4" s="2" t="s">
        <v>195</v>
      </c>
      <c r="E4" s="2" t="s">
        <v>196</v>
      </c>
    </row>
    <row r="5" spans="1:5" ht="28.8" x14ac:dyDescent="0.3">
      <c r="A5" s="2" t="s">
        <v>201</v>
      </c>
      <c r="B5" s="2" t="s">
        <v>47</v>
      </c>
      <c r="C5" s="2" t="s">
        <v>202</v>
      </c>
      <c r="D5" s="2" t="s">
        <v>195</v>
      </c>
      <c r="E5" s="2" t="s">
        <v>196</v>
      </c>
    </row>
    <row r="6" spans="1:5" ht="28.8" x14ac:dyDescent="0.3">
      <c r="A6" s="2" t="s">
        <v>203</v>
      </c>
      <c r="B6" s="2" t="s">
        <v>31</v>
      </c>
      <c r="C6" s="2" t="s">
        <v>204</v>
      </c>
      <c r="D6" s="2" t="s">
        <v>195</v>
      </c>
      <c r="E6" s="2" t="s">
        <v>196</v>
      </c>
    </row>
    <row r="7" spans="1:5" ht="28.8" x14ac:dyDescent="0.3">
      <c r="A7" s="2" t="s">
        <v>205</v>
      </c>
      <c r="B7" s="2" t="s">
        <v>31</v>
      </c>
      <c r="C7" s="2" t="s">
        <v>206</v>
      </c>
      <c r="D7" s="2" t="s">
        <v>195</v>
      </c>
      <c r="E7" s="2" t="s">
        <v>196</v>
      </c>
    </row>
    <row r="8" spans="1:5" ht="28.8" x14ac:dyDescent="0.3">
      <c r="A8" s="2" t="s">
        <v>207</v>
      </c>
      <c r="B8" s="2" t="s">
        <v>208</v>
      </c>
      <c r="C8" s="2" t="s">
        <v>209</v>
      </c>
      <c r="D8" s="2" t="s">
        <v>195</v>
      </c>
      <c r="E8" s="2" t="s">
        <v>196</v>
      </c>
    </row>
    <row r="9" spans="1:5" ht="28.8" x14ac:dyDescent="0.3">
      <c r="A9" s="2" t="s">
        <v>210</v>
      </c>
      <c r="B9" s="2" t="s">
        <v>40</v>
      </c>
      <c r="C9" s="2" t="s">
        <v>211</v>
      </c>
      <c r="D9" s="2" t="s">
        <v>195</v>
      </c>
      <c r="E9" s="2" t="s">
        <v>196</v>
      </c>
    </row>
    <row r="10" spans="1:5" ht="28.8" x14ac:dyDescent="0.3">
      <c r="A10" s="2" t="s">
        <v>212</v>
      </c>
      <c r="B10" s="2" t="s">
        <v>208</v>
      </c>
      <c r="C10" s="2" t="s">
        <v>213</v>
      </c>
      <c r="D10" s="2" t="s">
        <v>195</v>
      </c>
      <c r="E10" s="2" t="s">
        <v>196</v>
      </c>
    </row>
    <row r="11" spans="1:5" ht="28.8" x14ac:dyDescent="0.3">
      <c r="A11" s="2" t="s">
        <v>214</v>
      </c>
      <c r="B11" s="2" t="s">
        <v>31</v>
      </c>
      <c r="C11" s="2" t="s">
        <v>215</v>
      </c>
      <c r="D11" s="2" t="s">
        <v>195</v>
      </c>
      <c r="E11" s="2" t="s">
        <v>196</v>
      </c>
    </row>
    <row r="12" spans="1:5" ht="28.8" x14ac:dyDescent="0.3">
      <c r="A12" s="2" t="s">
        <v>216</v>
      </c>
      <c r="B12" s="2" t="s">
        <v>40</v>
      </c>
      <c r="C12" s="2" t="s">
        <v>217</v>
      </c>
      <c r="D12" s="2" t="s">
        <v>195</v>
      </c>
      <c r="E12" s="2" t="s">
        <v>196</v>
      </c>
    </row>
    <row r="13" spans="1:5" ht="28.8" x14ac:dyDescent="0.3">
      <c r="A13" s="2" t="s">
        <v>218</v>
      </c>
      <c r="B13" s="2" t="s">
        <v>31</v>
      </c>
      <c r="C13" s="2" t="s">
        <v>219</v>
      </c>
      <c r="D13" s="2" t="s">
        <v>195</v>
      </c>
      <c r="E13" s="2" t="s">
        <v>196</v>
      </c>
    </row>
    <row r="14" spans="1:5" ht="28.8" x14ac:dyDescent="0.3">
      <c r="A14" s="2" t="s">
        <v>39</v>
      </c>
      <c r="B14" s="2" t="s">
        <v>31</v>
      </c>
      <c r="C14" s="2" t="s">
        <v>220</v>
      </c>
      <c r="D14" s="2" t="s">
        <v>195</v>
      </c>
      <c r="E14" s="2" t="s">
        <v>196</v>
      </c>
    </row>
  </sheetData>
  <autoFilter ref="A1:E1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48" customWidth="1"/>
    <col min="4" max="4" width="14" customWidth="1"/>
    <col min="5" max="5" width="18" customWidth="1"/>
    <col min="6" max="6" width="75" customWidth="1"/>
    <col min="7" max="7" width="18" customWidth="1"/>
    <col min="8" max="8" width="32" customWidth="1"/>
  </cols>
  <sheetData>
    <row r="1" spans="1:8" x14ac:dyDescent="0.3">
      <c r="A1" s="1" t="s">
        <v>22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</row>
    <row r="2" spans="1:8" ht="28.8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  <c r="F2" s="2" t="s">
        <v>233</v>
      </c>
      <c r="G2" s="2" t="s">
        <v>196</v>
      </c>
      <c r="H2" s="2" t="s">
        <v>171</v>
      </c>
    </row>
    <row r="3" spans="1:8" ht="28.8" x14ac:dyDescent="0.3">
      <c r="A3" s="2" t="s">
        <v>234</v>
      </c>
      <c r="B3" s="2" t="s">
        <v>235</v>
      </c>
      <c r="C3" s="2" t="s">
        <v>236</v>
      </c>
      <c r="D3" s="2" t="s">
        <v>237</v>
      </c>
      <c r="E3" s="2" t="s">
        <v>238</v>
      </c>
      <c r="F3" s="2" t="s">
        <v>195</v>
      </c>
      <c r="G3" s="2" t="s">
        <v>196</v>
      </c>
      <c r="H3" s="2" t="s">
        <v>171</v>
      </c>
    </row>
    <row r="4" spans="1:8" x14ac:dyDescent="0.3">
      <c r="A4" s="2" t="s">
        <v>239</v>
      </c>
      <c r="B4" s="2" t="s">
        <v>240</v>
      </c>
      <c r="C4" s="2" t="s">
        <v>241</v>
      </c>
      <c r="D4" s="2" t="s">
        <v>237</v>
      </c>
      <c r="E4" s="2" t="s">
        <v>242</v>
      </c>
      <c r="F4" s="2" t="s">
        <v>243</v>
      </c>
      <c r="G4" s="2" t="s">
        <v>196</v>
      </c>
      <c r="H4" s="2" t="s">
        <v>171</v>
      </c>
    </row>
    <row r="5" spans="1:8" ht="28.8" x14ac:dyDescent="0.3">
      <c r="A5" s="2" t="s">
        <v>244</v>
      </c>
      <c r="B5" s="2" t="s">
        <v>245</v>
      </c>
      <c r="C5" s="2" t="s">
        <v>246</v>
      </c>
      <c r="D5" s="2" t="s">
        <v>237</v>
      </c>
      <c r="E5" s="2" t="s">
        <v>242</v>
      </c>
      <c r="F5" s="2" t="s">
        <v>247</v>
      </c>
      <c r="G5" s="2" t="s">
        <v>196</v>
      </c>
      <c r="H5" s="2" t="s">
        <v>171</v>
      </c>
    </row>
  </sheetData>
  <autoFilter ref="A1:H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16" customWidth="1"/>
    <col min="3" max="3" width="38" customWidth="1"/>
    <col min="4" max="4" width="35" customWidth="1"/>
  </cols>
  <sheetData>
    <row r="1" spans="1:4" x14ac:dyDescent="0.3">
      <c r="A1" s="1" t="s">
        <v>248</v>
      </c>
      <c r="B1" s="1" t="s">
        <v>249</v>
      </c>
      <c r="C1" s="1" t="s">
        <v>250</v>
      </c>
      <c r="D1" s="1" t="s">
        <v>251</v>
      </c>
    </row>
    <row r="2" spans="1:4" x14ac:dyDescent="0.3">
      <c r="A2" s="2" t="s">
        <v>252</v>
      </c>
      <c r="B2" s="2" t="s">
        <v>37</v>
      </c>
      <c r="C2" s="2" t="s">
        <v>253</v>
      </c>
      <c r="D2" s="2" t="s">
        <v>254</v>
      </c>
    </row>
    <row r="3" spans="1:4" x14ac:dyDescent="0.3">
      <c r="A3" s="2" t="s">
        <v>255</v>
      </c>
      <c r="B3" s="2" t="s">
        <v>37</v>
      </c>
      <c r="C3" s="2" t="s">
        <v>253</v>
      </c>
      <c r="D3" s="2" t="s">
        <v>254</v>
      </c>
    </row>
    <row r="4" spans="1:4" x14ac:dyDescent="0.3">
      <c r="A4" s="2" t="s">
        <v>256</v>
      </c>
      <c r="B4" s="2" t="s">
        <v>37</v>
      </c>
      <c r="C4" s="2" t="s">
        <v>253</v>
      </c>
      <c r="D4" s="2" t="s">
        <v>254</v>
      </c>
    </row>
    <row r="5" spans="1:4" x14ac:dyDescent="0.3">
      <c r="A5" s="2" t="s">
        <v>257</v>
      </c>
      <c r="B5" s="2" t="s">
        <v>37</v>
      </c>
      <c r="C5" s="2" t="s">
        <v>253</v>
      </c>
      <c r="D5" s="2" t="s">
        <v>254</v>
      </c>
    </row>
    <row r="6" spans="1:4" x14ac:dyDescent="0.3">
      <c r="A6" s="2" t="s">
        <v>258</v>
      </c>
      <c r="B6" s="2" t="s">
        <v>37</v>
      </c>
      <c r="C6" s="2" t="s">
        <v>253</v>
      </c>
      <c r="D6" s="2" t="s">
        <v>254</v>
      </c>
    </row>
    <row r="7" spans="1:4" x14ac:dyDescent="0.3">
      <c r="A7" s="2" t="s">
        <v>259</v>
      </c>
      <c r="B7" s="2" t="s">
        <v>37</v>
      </c>
      <c r="C7" s="2" t="s">
        <v>253</v>
      </c>
      <c r="D7" s="2" t="s">
        <v>254</v>
      </c>
    </row>
    <row r="8" spans="1:4" x14ac:dyDescent="0.3">
      <c r="A8" s="2" t="s">
        <v>260</v>
      </c>
      <c r="B8" s="2" t="s">
        <v>37</v>
      </c>
      <c r="C8" s="2" t="s">
        <v>253</v>
      </c>
      <c r="D8" s="2" t="s">
        <v>254</v>
      </c>
    </row>
    <row r="9" spans="1:4" x14ac:dyDescent="0.3">
      <c r="A9" s="2" t="s">
        <v>261</v>
      </c>
      <c r="B9" s="2" t="s">
        <v>37</v>
      </c>
      <c r="C9" s="2" t="s">
        <v>253</v>
      </c>
      <c r="D9" s="2" t="s">
        <v>254</v>
      </c>
    </row>
    <row r="10" spans="1:4" x14ac:dyDescent="0.3">
      <c r="A10" s="2" t="s">
        <v>262</v>
      </c>
      <c r="B10" s="2" t="s">
        <v>37</v>
      </c>
      <c r="C10" s="2" t="s">
        <v>253</v>
      </c>
      <c r="D10" s="2" t="s">
        <v>254</v>
      </c>
    </row>
    <row r="11" spans="1:4" x14ac:dyDescent="0.3">
      <c r="A11" s="2" t="s">
        <v>263</v>
      </c>
      <c r="B11" s="2" t="s">
        <v>37</v>
      </c>
      <c r="C11" s="2" t="s">
        <v>253</v>
      </c>
      <c r="D11" s="2" t="s">
        <v>254</v>
      </c>
    </row>
    <row r="12" spans="1:4" x14ac:dyDescent="0.3">
      <c r="A12" s="2" t="s">
        <v>264</v>
      </c>
      <c r="B12" s="2" t="s">
        <v>37</v>
      </c>
      <c r="C12" s="2" t="s">
        <v>253</v>
      </c>
      <c r="D12" s="2" t="s">
        <v>254</v>
      </c>
    </row>
    <row r="13" spans="1:4" x14ac:dyDescent="0.3">
      <c r="A13" s="2" t="s">
        <v>265</v>
      </c>
      <c r="B13" s="2" t="s">
        <v>37</v>
      </c>
      <c r="C13" s="2" t="s">
        <v>253</v>
      </c>
      <c r="D13" s="2" t="s">
        <v>254</v>
      </c>
    </row>
    <row r="14" spans="1:4" x14ac:dyDescent="0.3">
      <c r="A14" s="2" t="s">
        <v>266</v>
      </c>
      <c r="B14" s="2" t="s">
        <v>37</v>
      </c>
      <c r="C14" s="2" t="s">
        <v>253</v>
      </c>
      <c r="D14" s="2" t="s">
        <v>254</v>
      </c>
    </row>
  </sheetData>
  <autoFilter ref="A1:D1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Materialidade</vt:lpstr>
      <vt:lpstr>Riscos</vt:lpstr>
      <vt:lpstr>Respostas</vt:lpstr>
      <vt:lpstr>Fraude</vt:lpstr>
      <vt:lpstr>Cronograma</vt:lpstr>
      <vt:lpstr>Normas</vt:lpstr>
      <vt:lpstr>Fontes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Thaynara Kessia Espindola Pereira</dc:creator>
  <cp:lastModifiedBy>Thaynara Kessia Espindola Pereira</cp:lastModifiedBy>
  <dcterms:created xsi:type="dcterms:W3CDTF">2026-10-25T20:40:30Z</dcterms:created>
  <dcterms:modified xsi:type="dcterms:W3CDTF">2026-10-25T21:32:22Z</dcterms:modified>
</cp:coreProperties>
</file>