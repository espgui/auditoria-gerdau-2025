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05285923190\Documents\ENTREGA_FINAL_GERDAU_2025\04_planilhas\"/>
    </mc:Choice>
  </mc:AlternateContent>
  <xr:revisionPtr revIDLastSave="0" documentId="13_ncr:1_{44F6FC76-1886-4D9B-ACC9-72D2A20613DC}" xr6:coauthVersionLast="47" xr6:coauthVersionMax="47" xr10:uidLastSave="{00000000-0000-0000-0000-000000000000}"/>
  <bookViews>
    <workbookView xWindow="-108" yWindow="-108" windowWidth="23256" windowHeight="12456" firstSheet="2" activeTab="7" xr2:uid="{00000000-000D-0000-FFFF-FFFF00000000}"/>
  </bookViews>
  <sheets>
    <sheet name="Sensibilidade_540" sheetId="1" r:id="rId1"/>
    <sheet name="Partes_550" sheetId="2" r:id="rId2"/>
    <sheet name="Eventos_560" sheetId="3" r:id="rId3"/>
    <sheet name="Continuidade_570" sheetId="4" r:id="rId4"/>
    <sheet name="Grupo_600" sheetId="5" r:id="rId5"/>
    <sheet name="Representacoes_580" sheetId="6" r:id="rId6"/>
    <sheet name="Fontes" sheetId="7" r:id="rId7"/>
    <sheet name="Checklist" sheetId="8" r:id="rId8"/>
  </sheets>
  <definedNames>
    <definedName name="_xlnm._FilterDatabase" localSheetId="7" hidden="1">Checklist!$A$1:$D$13</definedName>
    <definedName name="_xlnm._FilterDatabase" localSheetId="3" hidden="1">Continuidade_570!$A$1:$G$4</definedName>
    <definedName name="_xlnm._FilterDatabase" localSheetId="2" hidden="1">Eventos_560!$A$1:$G$5</definedName>
    <definedName name="_xlnm._FilterDatabase" localSheetId="6" hidden="1">Fontes!$A$1:$H$6</definedName>
    <definedName name="_xlnm._FilterDatabase" localSheetId="4" hidden="1">Grupo_600!$A$1:$G$5</definedName>
    <definedName name="_xlnm._FilterDatabase" localSheetId="1" hidden="1">Partes_550!$A$1:$F$5</definedName>
    <definedName name="_xlnm._FilterDatabase" localSheetId="5" hidden="1">Representacoes_580!$A$1:$D$7</definedName>
    <definedName name="_xlnm._FilterDatabase" localSheetId="0" hidden="1">Sensibilidade_540!$A$1:$F$5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  <c r="D4" i="5"/>
  <c r="D3" i="5"/>
  <c r="D2" i="5"/>
  <c r="E4" i="4"/>
  <c r="F4" i="4" s="1"/>
  <c r="E3" i="4"/>
  <c r="F3" i="4" s="1"/>
  <c r="E2" i="4"/>
  <c r="F2" i="4" s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<sst xmlns="http://schemas.openxmlformats.org/spreadsheetml/2006/main" count="234" uniqueCount="156">
  <si>
    <t>WACC / g</t>
  </si>
  <si>
    <t>Categoria</t>
  </si>
  <si>
    <t>Vínculo / transação</t>
  </si>
  <si>
    <t>Risco</t>
  </si>
  <si>
    <t>Evidência pública</t>
  </si>
  <si>
    <t>Procedimento planejado</t>
  </si>
  <si>
    <t>Status</t>
  </si>
  <si>
    <t>Controladores</t>
  </si>
  <si>
    <t>Influência e aprovações</t>
  </si>
  <si>
    <t>Condições não usuais</t>
  </si>
  <si>
    <t>FRE, atas, política</t>
  </si>
  <si>
    <t>Cadastros e declarações</t>
  </si>
  <si>
    <t>Parcial público</t>
  </si>
  <si>
    <t>Controladas</t>
  </si>
  <si>
    <t>Vendas, compras, mútuos, garantias</t>
  </si>
  <si>
    <t>Eliminações</t>
  </si>
  <si>
    <t>Nota partes relacionadas</t>
  </si>
  <si>
    <t>Confirmação intragrupo</t>
  </si>
  <si>
    <t>Planejado</t>
  </si>
  <si>
    <t>Pessoal-chave</t>
  </si>
  <si>
    <t>Remuneração</t>
  </si>
  <si>
    <t>Divulgação sensível</t>
  </si>
  <si>
    <t>DF/FRE</t>
  </si>
  <si>
    <t>Aprovações e declarações</t>
  </si>
  <si>
    <t>Outras relacionadas</t>
  </si>
  <si>
    <t>Operações não informadas</t>
  </si>
  <si>
    <t>Completude</t>
  </si>
  <si>
    <t>Busca pública</t>
  </si>
  <si>
    <t>Razão e beneficiários</t>
  </si>
  <si>
    <t>Evento</t>
  </si>
  <si>
    <t>Data</t>
  </si>
  <si>
    <t>Fonte</t>
  </si>
  <si>
    <t>Condição em 31/12/2025?</t>
  </si>
  <si>
    <t>Ajuste?</t>
  </si>
  <si>
    <t>Divulgação?</t>
  </si>
  <si>
    <t>Conclusão</t>
  </si>
  <si>
    <t>DF e relatório do auditor</t>
  </si>
  <si>
    <t>23/02/2026</t>
  </si>
  <si>
    <t>DF 2025</t>
  </si>
  <si>
    <t>N/A</t>
  </si>
  <si>
    <t>Não</t>
  </si>
  <si>
    <t>Fonte-base</t>
  </si>
  <si>
    <t>Relatório Anual 2025</t>
  </si>
  <si>
    <t>27/05/2026</t>
  </si>
  <si>
    <t>RI</t>
  </si>
  <si>
    <t>Em parte</t>
  </si>
  <si>
    <t>Não identificado</t>
  </si>
  <si>
    <t>Sim, já publicado</t>
  </si>
  <si>
    <t>Corroboração</t>
  </si>
  <si>
    <t>Reconstrução pós-enchentes</t>
  </si>
  <si>
    <t>2025-2026</t>
  </si>
  <si>
    <t>Relatório Anual</t>
  </si>
  <si>
    <t>Sim, iniciativa em curso</t>
  </si>
  <si>
    <t>Conforme materialidade</t>
  </si>
  <si>
    <t>Monitorar</t>
  </si>
  <si>
    <t>Mercado/importações</t>
  </si>
  <si>
    <t>2026</t>
  </si>
  <si>
    <t>Evolução de condição</t>
  </si>
  <si>
    <t>Avaliar</t>
  </si>
  <si>
    <t>Cenário</t>
  </si>
  <si>
    <t>EBITDA R$ mil</t>
  </si>
  <si>
    <t>Caixa R$ mil</t>
  </si>
  <si>
    <t>Dívida R$ mil</t>
  </si>
  <si>
    <t>Dívida líquida</t>
  </si>
  <si>
    <t>DL/EBITDA</t>
  </si>
  <si>
    <t>Comentário</t>
  </si>
  <si>
    <t>Base</t>
  </si>
  <si>
    <t>Indicador público</t>
  </si>
  <si>
    <t>Moderado</t>
  </si>
  <si>
    <t>EBITDA -20%; caixa -20%</t>
  </si>
  <si>
    <t>Severo</t>
  </si>
  <si>
    <t>EBITDA -40%; caixa -35%</t>
  </si>
  <si>
    <t>Componente</t>
  </si>
  <si>
    <t>Escopo</t>
  </si>
  <si>
    <t>% materialidade execução</t>
  </si>
  <si>
    <t>Materialidade R$ mil</t>
  </si>
  <si>
    <t>Riscos</t>
  </si>
  <si>
    <t>Auditor componente</t>
  </si>
  <si>
    <t>Brasil</t>
  </si>
  <si>
    <t>Completo</t>
  </si>
  <si>
    <t>Impairment, tributos, CAPEX</t>
  </si>
  <si>
    <t>América do Norte</t>
  </si>
  <si>
    <t>Ágio, receita, aquisições</t>
  </si>
  <si>
    <t>América do Sul</t>
  </si>
  <si>
    <t>Específico</t>
  </si>
  <si>
    <t>Conversão, inflação</t>
  </si>
  <si>
    <t>Consolidação</t>
  </si>
  <si>
    <t>Eliminações, divulgações</t>
  </si>
  <si>
    <t>Auditor do grupo</t>
  </si>
  <si>
    <t>Tema</t>
  </si>
  <si>
    <t>Representação solicitada</t>
  </si>
  <si>
    <t>Evidência substituída?</t>
  </si>
  <si>
    <t>Responsabilidades</t>
  </si>
  <si>
    <t>Elaboração e controles</t>
  </si>
  <si>
    <t>Não enviada</t>
  </si>
  <si>
    <t>Fraude e leis</t>
  </si>
  <si>
    <t>Conhecimento de fraude/descumprimento</t>
  </si>
  <si>
    <t>Estimativas</t>
  </si>
  <si>
    <t>Métodos, premissas e dados</t>
  </si>
  <si>
    <t>Partes relacionadas</t>
  </si>
  <si>
    <t>Completude e divulgação</t>
  </si>
  <si>
    <t>Eventos subsequentes</t>
  </si>
  <si>
    <t>Todos considerados</t>
  </si>
  <si>
    <t>Continuidade</t>
  </si>
  <si>
    <t>Avaliação e planos</t>
  </si>
  <si>
    <t>ID</t>
  </si>
  <si>
    <t>Origem</t>
  </si>
  <si>
    <t>Documento</t>
  </si>
  <si>
    <t>Exercício</t>
  </si>
  <si>
    <t>Páginas</t>
  </si>
  <si>
    <t>URL/arquivo</t>
  </si>
  <si>
    <t>Acesso</t>
  </si>
  <si>
    <t>Uso</t>
  </si>
  <si>
    <t>FONTE-001</t>
  </si>
  <si>
    <t>Gerdau S.A.</t>
  </si>
  <si>
    <t>Demonstrações financeiras e relatório do auditor 2025</t>
  </si>
  <si>
    <t>2025</t>
  </si>
  <si>
    <t>pp.22-109</t>
  </si>
  <si>
    <t>Arquivo anexado</t>
  </si>
  <si>
    <t>25/10/2026</t>
  </si>
  <si>
    <t>Entrega 5</t>
  </si>
  <si>
    <t>FONTE-002</t>
  </si>
  <si>
    <t>Conselho Federal de Contabilidade</t>
  </si>
  <si>
    <t>NBC TA 540 (R2), 550, 560 (R1), 570, 580 (R1), 600 (R2)</t>
  </si>
  <si>
    <t>vigente</t>
  </si>
  <si>
    <t>Normas vigentes</t>
  </si>
  <si>
    <t>https://cfc.org.br/tecnica/normas-brasileiras-de-contabilidade/nbc-ta-de-auditoria-independente/</t>
  </si>
  <si>
    <t>FONTE-010</t>
  </si>
  <si>
    <t>pp.1-146</t>
  </si>
  <si>
    <t>https://www2.gerdau.com.br/wp-content/uploads/2026/05/relatorio-anual-gerdau-2025-pt.pdf</t>
  </si>
  <si>
    <t>FONTE-011</t>
  </si>
  <si>
    <t>Gerdau RI</t>
  </si>
  <si>
    <t>Página</t>
  </si>
  <si>
    <t>https://ri.gerdau.com/en/gerdau/annual-report/</t>
  </si>
  <si>
    <t>FONTE-012</t>
  </si>
  <si>
    <t>Relatórios e Formulários Anuais</t>
  </si>
  <si>
    <t>https://ri.gerdau.com/en/corporate-governance/annual-reports-and-forms/</t>
  </si>
  <si>
    <t>Requisito</t>
  </si>
  <si>
    <t>Atendido?</t>
  </si>
  <si>
    <t>Evidência</t>
  </si>
  <si>
    <t>Observação</t>
  </si>
  <si>
    <t>PT 540 completo</t>
  </si>
  <si>
    <t>Sim</t>
  </si>
  <si>
    <t>DOCX/XLSX</t>
  </si>
  <si>
    <t>Revisado</t>
  </si>
  <si>
    <t>Sensibilidade reproduzível e sintética</t>
  </si>
  <si>
    <t>PT 550 completo</t>
  </si>
  <si>
    <t>PT 560 com data de corte</t>
  </si>
  <si>
    <t>PT 570 com indicadores e cenários</t>
  </si>
  <si>
    <t>PT 580 marcado não enviar</t>
  </si>
  <si>
    <t>PT 600 com componentes e materialidade</t>
  </si>
  <si>
    <t>Normas e versões oficiais</t>
  </si>
  <si>
    <t>Campos com traços</t>
  </si>
  <si>
    <t>Procedimentos classificados</t>
  </si>
  <si>
    <t>Conclusões e limitações</t>
  </si>
  <si>
    <t>Sem opinião independente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</si>
</sst>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\x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164" fontId="1" fillId="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6" width="18" customWidth="1"/>
  </cols>
  <sheetData>
    <row r="1" spans="1:6" x14ac:dyDescent="0.3">
      <c r="A1" s="1" t="s">
        <v>0</v>
      </c>
      <c r="B1" s="2">
        <v>0.01</v>
      </c>
      <c r="C1" s="2">
        <v>1.4999999999999999E-2</v>
      </c>
      <c r="D1" s="2">
        <v>0.02</v>
      </c>
      <c r="E1" s="2">
        <v>2.5000000000000001E-2</v>
      </c>
      <c r="F1" s="2">
        <v>0.03</v>
      </c>
    </row>
    <row r="2" spans="1:6" x14ac:dyDescent="0.3">
      <c r="A2" s="3">
        <v>9.5000000000000001E-2</v>
      </c>
      <c r="B2" s="4">
        <f>100*(1+3%)*(1-(1+3%)^5/(1+0.095)^5)/(0.095-3%)+(100*(1+3%)^5*(1+0.01)/(0.095-0.01))/(1+0.095)^5</f>
        <v>1292.7199112452049</v>
      </c>
      <c r="C2" s="4">
        <f>100*(1+3%)*(1-(1+3%)^5/(1+0.095)^5)/(0.095-3%)+(100*(1+3%)^5*(1+0.015)/(0.095-0.015))/(1+0.095)^5</f>
        <v>1352.0111792735229</v>
      </c>
      <c r="D2" s="4">
        <f>100*(1+3%)*(1-(1+3%)^5/(1+0.095)^5)/(0.095-3%)+(100*(1+3%)^5*(1+0.02)/(0.095-0.02))/(1+0.095)^5</f>
        <v>1419.2079497056161</v>
      </c>
      <c r="E2" s="4">
        <f>100*(1+3%)*(1-(1+3%)^5/(1+0.095)^5)/(0.095-3%)+(100*(1+3%)^5*(1+0.025)/(0.095-0.025))/(1+0.095)^5</f>
        <v>1496.0042587708656</v>
      </c>
      <c r="F2" s="4">
        <f>100*(1+3%)*(1-(1+3%)^5/(1+0.095)^5)/(0.095-3%)+(100*(1+3%)^5*(1+0.03)/(0.095-0.03))/(1+0.095)^5</f>
        <v>1584.6153846153848</v>
      </c>
    </row>
    <row r="3" spans="1:6" x14ac:dyDescent="0.3">
      <c r="A3" s="3">
        <v>0.105</v>
      </c>
      <c r="B3" s="4">
        <f>100*(1+3%)*(1-(1+3%)^5/(1+0.105)^5)/(0.105-3%)+(100*(1+3%)^5*(1+0.01)/(0.105-0.01))/(1+0.105)^5</f>
        <v>1155.0693190516704</v>
      </c>
      <c r="C3" s="4">
        <f>100*(1+3%)*(1-(1+3%)^5/(1+0.105)^5)/(0.105-3%)+(100*(1+3%)^5*(1+0.015)/(0.105-0.015))/(1+0.105)^5</f>
        <v>1200.5409886936836</v>
      </c>
      <c r="D3" s="4">
        <f>100*(1+3%)*(1-(1+3%)^5/(1+0.105)^5)/(0.105-3%)+(100*(1+3%)^5*(1+0.02)/(0.105-0.02))/(1+0.105)^5</f>
        <v>1251.3622665288749</v>
      </c>
      <c r="E3" s="4">
        <f>100*(1+3%)*(1-(1+3%)^5/(1+0.105)^5)/(0.105-3%)+(100*(1+3%)^5*(1+0.025)/(0.105-0.025))/(1+0.105)^5</f>
        <v>1308.5362040934647</v>
      </c>
      <c r="F3" s="4">
        <f>100*(1+3%)*(1-(1+3%)^5/(1+0.105)^5)/(0.105-3%)+(100*(1+3%)^5*(1+0.03)/(0.105-0.03))/(1+0.105)^5</f>
        <v>1373.3333333333335</v>
      </c>
    </row>
    <row r="4" spans="1:6" x14ac:dyDescent="0.3">
      <c r="A4" s="3">
        <v>0.115</v>
      </c>
      <c r="B4" s="4">
        <f>100*(1+3%)*(1-(1+3%)^5/(1+0.115)^5)/(0.115-3%)+(100*(1+3%)^5*(1+0.01)/(0.115-0.01))/(1+0.115)^5</f>
        <v>1043.6876528201296</v>
      </c>
      <c r="C4" s="4">
        <f>100*(1+3%)*(1-(1+3%)^5/(1+0.115)^5)/(0.115-3%)+(100*(1+3%)^5*(1+0.015)/(0.115-0.015))/(1+0.115)^5</f>
        <v>1079.4040265958522</v>
      </c>
      <c r="D4" s="4">
        <f>100*(1+3%)*(1-(1+3%)^5/(1+0.115)^5)/(0.115-3%)+(100*(1+3%)^5*(1+0.02)/(0.115-0.02))/(1+0.115)^5</f>
        <v>1118.8800186637559</v>
      </c>
      <c r="E4" s="4">
        <f>100*(1+3%)*(1-(1+3%)^5/(1+0.115)^5)/(0.115-3%)+(100*(1+3%)^5*(1+0.025)/(0.115-0.025))/(1+0.115)^5</f>
        <v>1162.7422320725379</v>
      </c>
      <c r="F4" s="4">
        <f>100*(1+3%)*(1-(1+3%)^5/(1+0.115)^5)/(0.115-3%)+(100*(1+3%)^5*(1+0.03)/(0.115-0.03))/(1+0.115)^5</f>
        <v>1211.7647058823529</v>
      </c>
    </row>
    <row r="5" spans="1:6" x14ac:dyDescent="0.3">
      <c r="A5" s="3">
        <v>0.125</v>
      </c>
      <c r="B5" s="4">
        <f>100*(1+3%)*(1-(1+3%)^5/(1+0.125)^5)/(0.125-3%)+(100*(1+3%)^5*(1+0.01)/(0.125-0.01))/(1+0.125)^5</f>
        <v>951.72007369438654</v>
      </c>
      <c r="C5" s="4">
        <f>100*(1+3%)*(1-(1+3%)^5/(1+0.125)^5)/(0.125-3%)+(100*(1+3%)^5*(1+0.015)/(0.125-0.015))/(1+0.125)^5</f>
        <v>980.32596687400769</v>
      </c>
      <c r="D5" s="4">
        <f>100*(1+3%)*(1-(1+3%)^5/(1+0.125)^5)/(0.125-3%)+(100*(1+3%)^5*(1+0.02)/(0.125-0.02))/(1+0.125)^5</f>
        <v>1011.6562308326403</v>
      </c>
      <c r="E5" s="4">
        <f>100*(1+3%)*(1-(1+3%)^5/(1+0.125)^5)/(0.125-3%)+(100*(1+3%)^5*(1+0.025)/(0.125-0.025))/(1+0.125)^5</f>
        <v>1046.1195211871361</v>
      </c>
      <c r="F5" s="4">
        <f>100*(1+3%)*(1-(1+3%)^5/(1+0.125)^5)/(0.125-3%)+(100*(1+3%)^5*(1+0.03)/(0.125-0.03))/(1+0.125)^5</f>
        <v>1084.2105263157896</v>
      </c>
    </row>
  </sheetData>
  <autoFilter ref="A1:F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35" customWidth="1"/>
    <col min="3" max="3" width="32" customWidth="1"/>
    <col min="4" max="4" width="35" customWidth="1"/>
    <col min="5" max="5" width="40" customWidth="1"/>
    <col min="6" max="6" width="20" customWidth="1"/>
  </cols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</row>
    <row r="3" spans="1:6" x14ac:dyDescent="0.3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</row>
    <row r="4" spans="1:6" x14ac:dyDescent="0.3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12</v>
      </c>
    </row>
    <row r="5" spans="1:6" x14ac:dyDescent="0.3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18</v>
      </c>
    </row>
  </sheetData>
  <autoFilter ref="A1:F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  <col min="2" max="2" width="18" customWidth="1"/>
    <col min="3" max="3" width="28" customWidth="1"/>
    <col min="4" max="4" width="27" customWidth="1"/>
    <col min="5" max="5" width="18" customWidth="1"/>
    <col min="6" max="6" width="20" customWidth="1"/>
    <col min="7" max="7" width="30" customWidth="1"/>
  </cols>
  <sheetData>
    <row r="1" spans="1:7" x14ac:dyDescent="0.3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 x14ac:dyDescent="0.3">
      <c r="A2" s="4" t="s">
        <v>36</v>
      </c>
      <c r="B2" s="4" t="s">
        <v>37</v>
      </c>
      <c r="C2" s="4" t="s">
        <v>38</v>
      </c>
      <c r="D2" s="4" t="s">
        <v>39</v>
      </c>
      <c r="E2" s="4" t="s">
        <v>40</v>
      </c>
      <c r="F2" s="4" t="s">
        <v>39</v>
      </c>
      <c r="G2" s="4" t="s">
        <v>41</v>
      </c>
    </row>
    <row r="3" spans="1:7" x14ac:dyDescent="0.3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</row>
    <row r="4" spans="1:7" ht="28.8" x14ac:dyDescent="0.3">
      <c r="A4" s="4" t="s">
        <v>49</v>
      </c>
      <c r="B4" s="4" t="s">
        <v>50</v>
      </c>
      <c r="C4" s="4" t="s">
        <v>51</v>
      </c>
      <c r="D4" s="4" t="s">
        <v>52</v>
      </c>
      <c r="E4" s="4" t="s">
        <v>46</v>
      </c>
      <c r="F4" s="4" t="s">
        <v>53</v>
      </c>
      <c r="G4" s="4" t="s">
        <v>54</v>
      </c>
    </row>
    <row r="5" spans="1:7" x14ac:dyDescent="0.3">
      <c r="A5" s="4" t="s">
        <v>55</v>
      </c>
      <c r="B5" s="4" t="s">
        <v>56</v>
      </c>
      <c r="C5" s="4" t="s">
        <v>51</v>
      </c>
      <c r="D5" s="4" t="s">
        <v>57</v>
      </c>
      <c r="E5" s="4" t="s">
        <v>46</v>
      </c>
      <c r="F5" s="4" t="s">
        <v>58</v>
      </c>
      <c r="G5" s="4" t="s">
        <v>54</v>
      </c>
    </row>
  </sheetData>
  <autoFilter ref="A1:G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5" width="22" customWidth="1"/>
    <col min="6" max="6" width="18" customWidth="1"/>
    <col min="7" max="7" width="40" customWidth="1"/>
  </cols>
  <sheetData>
    <row r="1" spans="1:7" x14ac:dyDescent="0.3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</row>
    <row r="2" spans="1:7" x14ac:dyDescent="0.3">
      <c r="A2" s="4" t="s">
        <v>66</v>
      </c>
      <c r="B2" s="4">
        <v>10073722</v>
      </c>
      <c r="C2" s="4">
        <v>3104080</v>
      </c>
      <c r="D2" s="4">
        <v>14182151</v>
      </c>
      <c r="E2" s="4">
        <f>D2-C2</f>
        <v>11078071</v>
      </c>
      <c r="F2" s="5">
        <f>E2/B2</f>
        <v>1.0996998924528589</v>
      </c>
      <c r="G2" s="4" t="s">
        <v>67</v>
      </c>
    </row>
    <row r="3" spans="1:7" x14ac:dyDescent="0.3">
      <c r="A3" s="4" t="s">
        <v>68</v>
      </c>
      <c r="B3" s="4">
        <v>8058978</v>
      </c>
      <c r="C3" s="4">
        <v>2483264</v>
      </c>
      <c r="D3" s="4">
        <v>14182151</v>
      </c>
      <c r="E3" s="4">
        <f>D3-C3</f>
        <v>11698887</v>
      </c>
      <c r="F3" s="5">
        <f>E3/B3</f>
        <v>1.4516588828012684</v>
      </c>
      <c r="G3" s="4" t="s">
        <v>69</v>
      </c>
    </row>
    <row r="4" spans="1:7" x14ac:dyDescent="0.3">
      <c r="A4" s="4" t="s">
        <v>70</v>
      </c>
      <c r="B4" s="4">
        <v>6044233</v>
      </c>
      <c r="C4" s="4">
        <v>2017652</v>
      </c>
      <c r="D4" s="4">
        <v>14182151</v>
      </c>
      <c r="E4" s="4">
        <f>D4-C4</f>
        <v>12164499</v>
      </c>
      <c r="F4" s="5">
        <f>E4/B4</f>
        <v>2.0125794290193646</v>
      </c>
      <c r="G4" s="4" t="s">
        <v>71</v>
      </c>
    </row>
  </sheetData>
  <autoFilter ref="A1:G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8" customWidth="1"/>
    <col min="3" max="3" width="24" customWidth="1"/>
    <col min="4" max="4" width="25" customWidth="1"/>
    <col min="5" max="5" width="40" customWidth="1"/>
    <col min="6" max="6" width="25" customWidth="1"/>
    <col min="7" max="7" width="20" customWidth="1"/>
  </cols>
  <sheetData>
    <row r="1" spans="1:7" x14ac:dyDescent="0.3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6</v>
      </c>
    </row>
    <row r="2" spans="1:7" x14ac:dyDescent="0.3">
      <c r="A2" s="4" t="s">
        <v>78</v>
      </c>
      <c r="B2" s="4" t="s">
        <v>79</v>
      </c>
      <c r="C2" s="6">
        <v>0.6</v>
      </c>
      <c r="D2" s="4">
        <f>244505*C2</f>
        <v>146703</v>
      </c>
      <c r="E2" s="4" t="s">
        <v>80</v>
      </c>
      <c r="F2" s="4" t="s">
        <v>46</v>
      </c>
      <c r="G2" s="4" t="s">
        <v>18</v>
      </c>
    </row>
    <row r="3" spans="1:7" x14ac:dyDescent="0.3">
      <c r="A3" s="4" t="s">
        <v>81</v>
      </c>
      <c r="B3" s="4" t="s">
        <v>79</v>
      </c>
      <c r="C3" s="6">
        <v>0.6</v>
      </c>
      <c r="D3" s="4">
        <f>244505*C3</f>
        <v>146703</v>
      </c>
      <c r="E3" s="4" t="s">
        <v>82</v>
      </c>
      <c r="F3" s="4" t="s">
        <v>46</v>
      </c>
      <c r="G3" s="4" t="s">
        <v>18</v>
      </c>
    </row>
    <row r="4" spans="1:7" x14ac:dyDescent="0.3">
      <c r="A4" s="4" t="s">
        <v>83</v>
      </c>
      <c r="B4" s="4" t="s">
        <v>84</v>
      </c>
      <c r="C4" s="6">
        <v>0.4</v>
      </c>
      <c r="D4" s="4">
        <f>244505*C4</f>
        <v>97802</v>
      </c>
      <c r="E4" s="4" t="s">
        <v>85</v>
      </c>
      <c r="F4" s="4" t="s">
        <v>46</v>
      </c>
      <c r="G4" s="4" t="s">
        <v>18</v>
      </c>
    </row>
    <row r="5" spans="1:7" x14ac:dyDescent="0.3">
      <c r="A5" s="4" t="s">
        <v>86</v>
      </c>
      <c r="B5" s="4" t="s">
        <v>79</v>
      </c>
      <c r="C5" s="6">
        <v>1</v>
      </c>
      <c r="D5" s="4">
        <f>244505*C5</f>
        <v>244505</v>
      </c>
      <c r="E5" s="4" t="s">
        <v>87</v>
      </c>
      <c r="F5" s="4" t="s">
        <v>88</v>
      </c>
      <c r="G5" s="4" t="s">
        <v>18</v>
      </c>
    </row>
  </sheetData>
  <autoFilter ref="A1:G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55" customWidth="1"/>
    <col min="3" max="3" width="24" customWidth="1"/>
    <col min="4" max="4" width="20" customWidth="1"/>
  </cols>
  <sheetData>
    <row r="1" spans="1:4" x14ac:dyDescent="0.3">
      <c r="A1" s="1" t="s">
        <v>89</v>
      </c>
      <c r="B1" s="1" t="s">
        <v>90</v>
      </c>
      <c r="C1" s="1" t="s">
        <v>91</v>
      </c>
      <c r="D1" s="1" t="s">
        <v>6</v>
      </c>
    </row>
    <row r="2" spans="1:4" x14ac:dyDescent="0.3">
      <c r="A2" s="4" t="s">
        <v>92</v>
      </c>
      <c r="B2" s="4" t="s">
        <v>93</v>
      </c>
      <c r="C2" s="4" t="s">
        <v>40</v>
      </c>
      <c r="D2" s="4" t="s">
        <v>94</v>
      </c>
    </row>
    <row r="3" spans="1:4" x14ac:dyDescent="0.3">
      <c r="A3" s="4" t="s">
        <v>95</v>
      </c>
      <c r="B3" s="4" t="s">
        <v>96</v>
      </c>
      <c r="C3" s="4" t="s">
        <v>40</v>
      </c>
      <c r="D3" s="4" t="s">
        <v>94</v>
      </c>
    </row>
    <row r="4" spans="1:4" x14ac:dyDescent="0.3">
      <c r="A4" s="4" t="s">
        <v>97</v>
      </c>
      <c r="B4" s="4" t="s">
        <v>98</v>
      </c>
      <c r="C4" s="4" t="s">
        <v>40</v>
      </c>
      <c r="D4" s="4" t="s">
        <v>94</v>
      </c>
    </row>
    <row r="5" spans="1:4" x14ac:dyDescent="0.3">
      <c r="A5" s="4" t="s">
        <v>99</v>
      </c>
      <c r="B5" s="4" t="s">
        <v>100</v>
      </c>
      <c r="C5" s="4" t="s">
        <v>40</v>
      </c>
      <c r="D5" s="4" t="s">
        <v>94</v>
      </c>
    </row>
    <row r="6" spans="1:4" x14ac:dyDescent="0.3">
      <c r="A6" s="4" t="s">
        <v>101</v>
      </c>
      <c r="B6" s="4" t="s">
        <v>102</v>
      </c>
      <c r="C6" s="4" t="s">
        <v>40</v>
      </c>
      <c r="D6" s="4" t="s">
        <v>94</v>
      </c>
    </row>
    <row r="7" spans="1:4" x14ac:dyDescent="0.3">
      <c r="A7" s="4" t="s">
        <v>103</v>
      </c>
      <c r="B7" s="4" t="s">
        <v>104</v>
      </c>
      <c r="C7" s="4" t="s">
        <v>40</v>
      </c>
      <c r="D7" s="4" t="s">
        <v>94</v>
      </c>
    </row>
  </sheetData>
  <autoFilter ref="A1:D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8" customWidth="1"/>
    <col min="3" max="3" width="52" customWidth="1"/>
    <col min="4" max="4" width="16" customWidth="1"/>
    <col min="5" max="5" width="18" customWidth="1"/>
    <col min="6" max="6" width="80" customWidth="1"/>
    <col min="7" max="8" width="18" customWidth="1"/>
  </cols>
  <sheetData>
    <row r="1" spans="1:8" x14ac:dyDescent="0.3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</row>
    <row r="2" spans="1:8" x14ac:dyDescent="0.3">
      <c r="A2" s="4" t="s">
        <v>113</v>
      </c>
      <c r="B2" s="4" t="s">
        <v>114</v>
      </c>
      <c r="C2" s="4" t="s">
        <v>115</v>
      </c>
      <c r="D2" s="4" t="s">
        <v>116</v>
      </c>
      <c r="E2" s="4" t="s">
        <v>117</v>
      </c>
      <c r="F2" s="4" t="s">
        <v>118</v>
      </c>
      <c r="G2" s="4" t="s">
        <v>119</v>
      </c>
      <c r="H2" s="4" t="s">
        <v>120</v>
      </c>
    </row>
    <row r="3" spans="1:8" ht="28.8" x14ac:dyDescent="0.3">
      <c r="A3" s="4" t="s">
        <v>121</v>
      </c>
      <c r="B3" s="4" t="s">
        <v>122</v>
      </c>
      <c r="C3" s="4" t="s">
        <v>123</v>
      </c>
      <c r="D3" s="4" t="s">
        <v>124</v>
      </c>
      <c r="E3" s="4" t="s">
        <v>125</v>
      </c>
      <c r="F3" s="4" t="s">
        <v>126</v>
      </c>
      <c r="G3" s="4" t="s">
        <v>119</v>
      </c>
      <c r="H3" s="4" t="s">
        <v>120</v>
      </c>
    </row>
    <row r="4" spans="1:8" ht="28.8" x14ac:dyDescent="0.3">
      <c r="A4" s="4" t="s">
        <v>127</v>
      </c>
      <c r="B4" s="4" t="s">
        <v>114</v>
      </c>
      <c r="C4" s="4" t="s">
        <v>42</v>
      </c>
      <c r="D4" s="4" t="s">
        <v>116</v>
      </c>
      <c r="E4" s="4" t="s">
        <v>128</v>
      </c>
      <c r="F4" s="4" t="s">
        <v>129</v>
      </c>
      <c r="G4" s="4" t="s">
        <v>119</v>
      </c>
      <c r="H4" s="4" t="s">
        <v>120</v>
      </c>
    </row>
    <row r="5" spans="1:8" x14ac:dyDescent="0.3">
      <c r="A5" s="4" t="s">
        <v>130</v>
      </c>
      <c r="B5" s="4" t="s">
        <v>131</v>
      </c>
      <c r="C5" s="4" t="s">
        <v>51</v>
      </c>
      <c r="D5" s="4" t="s">
        <v>124</v>
      </c>
      <c r="E5" s="4" t="s">
        <v>132</v>
      </c>
      <c r="F5" s="4" t="s">
        <v>133</v>
      </c>
      <c r="G5" s="4" t="s">
        <v>119</v>
      </c>
      <c r="H5" s="4" t="s">
        <v>120</v>
      </c>
    </row>
    <row r="6" spans="1:8" x14ac:dyDescent="0.3">
      <c r="A6" s="4" t="s">
        <v>134</v>
      </c>
      <c r="B6" s="4" t="s">
        <v>131</v>
      </c>
      <c r="C6" s="4" t="s">
        <v>135</v>
      </c>
      <c r="D6" s="4" t="s">
        <v>124</v>
      </c>
      <c r="E6" s="4" t="s">
        <v>132</v>
      </c>
      <c r="F6" s="4" t="s">
        <v>136</v>
      </c>
      <c r="G6" s="4" t="s">
        <v>119</v>
      </c>
      <c r="H6" s="4" t="s">
        <v>120</v>
      </c>
    </row>
  </sheetData>
  <autoFilter ref="A1:H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58" customWidth="1"/>
    <col min="2" max="2" width="16" customWidth="1"/>
    <col min="3" max="4" width="35" customWidth="1"/>
  </cols>
  <sheetData>
    <row r="1" spans="1:4" x14ac:dyDescent="0.3">
      <c r="A1" s="1" t="s">
        <v>137</v>
      </c>
      <c r="B1" s="1" t="s">
        <v>138</v>
      </c>
      <c r="C1" s="1" t="s">
        <v>139</v>
      </c>
      <c r="D1" s="1" t="s">
        <v>140</v>
      </c>
    </row>
    <row r="2" spans="1:4" x14ac:dyDescent="0.3">
      <c r="A2" s="4" t="s">
        <v>141</v>
      </c>
      <c r="B2" s="4" t="s">
        <v>142</v>
      </c>
      <c r="C2" s="4" t="s">
        <v>143</v>
      </c>
      <c r="D2" s="4" t="s">
        <v>144</v>
      </c>
    </row>
    <row r="3" spans="1:4" x14ac:dyDescent="0.3">
      <c r="A3" s="4" t="s">
        <v>145</v>
      </c>
      <c r="B3" s="4" t="s">
        <v>142</v>
      </c>
      <c r="C3" s="4" t="s">
        <v>143</v>
      </c>
      <c r="D3" s="4" t="s">
        <v>144</v>
      </c>
    </row>
    <row r="4" spans="1:4" x14ac:dyDescent="0.3">
      <c r="A4" s="4" t="s">
        <v>146</v>
      </c>
      <c r="B4" s="4" t="s">
        <v>142</v>
      </c>
      <c r="C4" s="4" t="s">
        <v>143</v>
      </c>
      <c r="D4" s="4" t="s">
        <v>144</v>
      </c>
    </row>
    <row r="5" spans="1:4" x14ac:dyDescent="0.3">
      <c r="A5" s="4" t="s">
        <v>147</v>
      </c>
      <c r="B5" s="4" t="s">
        <v>142</v>
      </c>
      <c r="C5" s="4" t="s">
        <v>143</v>
      </c>
      <c r="D5" s="4" t="s">
        <v>144</v>
      </c>
    </row>
    <row r="6" spans="1:4" x14ac:dyDescent="0.3">
      <c r="A6" s="4" t="s">
        <v>148</v>
      </c>
      <c r="B6" s="4" t="s">
        <v>142</v>
      </c>
      <c r="C6" s="4" t="s">
        <v>143</v>
      </c>
      <c r="D6" s="4" t="s">
        <v>144</v>
      </c>
    </row>
    <row r="7" spans="1:4" x14ac:dyDescent="0.3">
      <c r="A7" s="4" t="s">
        <v>149</v>
      </c>
      <c r="B7" s="4" t="s">
        <v>142</v>
      </c>
      <c r="C7" s="4" t="s">
        <v>143</v>
      </c>
      <c r="D7" s="4" t="s">
        <v>144</v>
      </c>
    </row>
    <row r="8" spans="1:4" x14ac:dyDescent="0.3">
      <c r="A8" s="4" t="s">
        <v>150</v>
      </c>
      <c r="B8" s="4" t="s">
        <v>142</v>
      </c>
      <c r="C8" s="4" t="s">
        <v>143</v>
      </c>
      <c r="D8" s="4" t="s">
        <v>144</v>
      </c>
    </row>
    <row r="9" spans="1:4" x14ac:dyDescent="0.3">
      <c r="A9" s="4" t="s">
        <v>151</v>
      </c>
      <c r="B9" s="4" t="s">
        <v>142</v>
      </c>
      <c r="C9" s="4" t="s">
        <v>143</v>
      </c>
      <c r="D9" s="4" t="s">
        <v>144</v>
      </c>
    </row>
    <row r="10" spans="1:4" x14ac:dyDescent="0.3">
      <c r="A10" s="4" t="s">
        <v>152</v>
      </c>
      <c r="B10" s="4" t="s">
        <v>142</v>
      </c>
      <c r="C10" s="4" t="s">
        <v>143</v>
      </c>
      <c r="D10" s="4" t="s">
        <v>144</v>
      </c>
    </row>
    <row r="11" spans="1:4" x14ac:dyDescent="0.3">
      <c r="A11" s="4" t="s">
        <v>153</v>
      </c>
      <c r="B11" s="4" t="s">
        <v>142</v>
      </c>
      <c r="C11" s="4" t="s">
        <v>143</v>
      </c>
      <c r="D11" s="4" t="s">
        <v>144</v>
      </c>
    </row>
    <row r="12" spans="1:4" x14ac:dyDescent="0.3">
      <c r="A12" s="4" t="s">
        <v>154</v>
      </c>
      <c r="B12" s="4" t="s">
        <v>142</v>
      </c>
      <c r="C12" s="4" t="s">
        <v>143</v>
      </c>
      <c r="D12" s="4" t="s">
        <v>144</v>
      </c>
    </row>
    <row r="13" spans="1:4" x14ac:dyDescent="0.3">
      <c r="A13" s="4" t="s">
        <v>155</v>
      </c>
      <c r="B13" s="4" t="s">
        <v>142</v>
      </c>
      <c r="C13" s="4" t="s">
        <v>143</v>
      </c>
      <c r="D13" s="4" t="s">
        <v>144</v>
      </c>
    </row>
  </sheetData>
  <autoFilter ref="A1:D13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Sensibilidade_540</vt:lpstr>
      <vt:lpstr>Partes_550</vt:lpstr>
      <vt:lpstr>Eventos_560</vt:lpstr>
      <vt:lpstr>Continuidade_570</vt:lpstr>
      <vt:lpstr>Grupo_600</vt:lpstr>
      <vt:lpstr>Representacoes_580</vt:lpstr>
      <vt:lpstr>Fontes</vt:lpstr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Thaynara Kessia Espindola Pereira</cp:lastModifiedBy>
  <dcterms:created xsi:type="dcterms:W3CDTF">2026-10-25T20:58:09Z</dcterms:created>
  <dcterms:modified xsi:type="dcterms:W3CDTF">2026-10-25T21:34:57Z</dcterms:modified>
</cp:coreProperties>
</file>