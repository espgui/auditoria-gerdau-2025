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05285923190\Documents\ENTREGA_FINAL_GERDAU_2025\04_planilhas\"/>
    </mc:Choice>
  </mc:AlternateContent>
  <xr:revisionPtr revIDLastSave="0" documentId="13_ncr:1_{D51B9E0D-DBA6-45E2-860A-546360406DBB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Conciliacoes" sheetId="1" r:id="rId1"/>
    <sheet name="Analiticos" sheetId="2" r:id="rId2"/>
    <sheet name="Distorcoes" sheetId="3" r:id="rId3"/>
    <sheet name="Servicos_402" sheetId="4" r:id="rId4"/>
    <sheet name="Controle_Confirmacoes" sheetId="5" r:id="rId5"/>
    <sheet name="Itens_501" sheetId="6" r:id="rId6"/>
    <sheet name="Programas" sheetId="7" r:id="rId7"/>
    <sheet name="Fontes" sheetId="8" r:id="rId8"/>
    <sheet name="Checklist" sheetId="9" r:id="rId9"/>
  </sheets>
  <definedNames>
    <definedName name="_xlnm._FilterDatabase" localSheetId="1" hidden="1">Analiticos!$A$1:$H$5</definedName>
    <definedName name="_xlnm._FilterDatabase" localSheetId="8" hidden="1">Checklist!$A$1:$D$13</definedName>
    <definedName name="_xlnm._FilterDatabase" localSheetId="0" hidden="1">Conciliacoes!$A$1:$F$9</definedName>
    <definedName name="_xlnm._FilterDatabase" localSheetId="4" hidden="1">Controle_Confirmacoes!$A$1:$J$5</definedName>
    <definedName name="_xlnm._FilterDatabase" localSheetId="2" hidden="1">Distorcoes!$A$1:$I$4</definedName>
    <definedName name="_xlnm._FilterDatabase" localSheetId="7" hidden="1">Fontes!$A$1:$H$5</definedName>
    <definedName name="_xlnm._FilterDatabase" localSheetId="5" hidden="1">Itens_501!$A$1:$F$4</definedName>
    <definedName name="_xlnm._FilterDatabase" localSheetId="6" hidden="1">Programas!$A$1:$F$7</definedName>
    <definedName name="_xlnm._FilterDatabase" localSheetId="3" hidden="1">Servicos_402!$A$1:$F$5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F5" i="2"/>
  <c r="D5" i="2"/>
  <c r="G5" i="2" s="1"/>
  <c r="F4" i="2"/>
  <c r="D4" i="2"/>
  <c r="G4" i="2" s="1"/>
  <c r="F3" i="2"/>
  <c r="D3" i="2"/>
  <c r="G3" i="2" s="1"/>
  <c r="F2" i="2"/>
  <c r="D2" i="2"/>
  <c r="E2" i="2" s="1"/>
  <c r="D9" i="1"/>
  <c r="D8" i="1"/>
  <c r="D7" i="1"/>
  <c r="D6" i="1"/>
  <c r="D5" i="1"/>
  <c r="D4" i="1"/>
  <c r="D3" i="1"/>
  <c r="D2" i="1"/>
  <c r="G2" i="2" l="1"/>
  <c r="E5" i="2"/>
  <c r="E3" i="2"/>
  <c r="E4" i="2"/>
</calcChain>
</file>

<file path=xl/sharedStrings.xml><?xml version="1.0" encoding="utf-8"?>
<sst xmlns="http://schemas.openxmlformats.org/spreadsheetml/2006/main" count="288" uniqueCount="195">
  <si>
    <t>Conta</t>
  </si>
  <si>
    <t>Saldo BP/DRE 2025 R$ mil</t>
  </si>
  <si>
    <t>Saldo Nota 2025 R$ mil</t>
  </si>
  <si>
    <t>Diferença</t>
  </si>
  <si>
    <t>Referência</t>
  </si>
  <si>
    <t>Conclusão</t>
  </si>
  <si>
    <t>Caixa e equivalentes</t>
  </si>
  <si>
    <t>Balanço e Nota 4</t>
  </si>
  <si>
    <t>Saldo público conciliado.</t>
  </si>
  <si>
    <t>Contas a receber</t>
  </si>
  <si>
    <t>Balanço e Nota 5</t>
  </si>
  <si>
    <t>Estoques</t>
  </si>
  <si>
    <t>Balanço e Nota 6</t>
  </si>
  <si>
    <t>Imobilizado</t>
  </si>
  <si>
    <t>Balanço e Nota 10</t>
  </si>
  <si>
    <t>Saldo público conciliado; conta escolhida para base sintética.</t>
  </si>
  <si>
    <t>Ágio</t>
  </si>
  <si>
    <t>Balanço e Nota 11</t>
  </si>
  <si>
    <t>Saldo sujeito a impairment.</t>
  </si>
  <si>
    <t>Dívidas financeiras</t>
  </si>
  <si>
    <t>Balanço e Notas 15-17</t>
  </si>
  <si>
    <t>Provisões</t>
  </si>
  <si>
    <t>Balanço e Nota 19</t>
  </si>
  <si>
    <t>Julgamento e completude relevantes.</t>
  </si>
  <si>
    <t>Receita líquida</t>
  </si>
  <si>
    <t>DRE e Nota 25</t>
  </si>
  <si>
    <t>Base de materialidade.</t>
  </si>
  <si>
    <t>Indicador</t>
  </si>
  <si>
    <t>2025 R$ mil</t>
  </si>
  <si>
    <t>2024 R$ mil</t>
  </si>
  <si>
    <t>Variação R$ mil</t>
  </si>
  <si>
    <t>Variação %</t>
  </si>
  <si>
    <t>Limiar R$ mil</t>
  </si>
  <si>
    <t>Investigar?</t>
  </si>
  <si>
    <t>Comentário</t>
  </si>
  <si>
    <t>Confrontar com notas e informações públicas.</t>
  </si>
  <si>
    <t>Lucro antes dos impostos</t>
  </si>
  <si>
    <t>ID</t>
  </si>
  <si>
    <t>Origem</t>
  </si>
  <si>
    <t>Descrição</t>
  </si>
  <si>
    <t>Valor R$ mil</t>
  </si>
  <si>
    <t>Corrigida?</t>
  </si>
  <si>
    <t>Efeito quantitativo</t>
  </si>
  <si>
    <t>Fator qualitativo</t>
  </si>
  <si>
    <t>Status</t>
  </si>
  <si>
    <t>D-REAL-00</t>
  </si>
  <si>
    <t>EP</t>
  </si>
  <si>
    <t>N/A</t>
  </si>
  <si>
    <t>Nenhuma distorção própria identificada</t>
  </si>
  <si>
    <t>Limitações públicas</t>
  </si>
  <si>
    <t>Aberto</t>
  </si>
  <si>
    <t>D-SIM-01</t>
  </si>
  <si>
    <t>SIM</t>
  </si>
  <si>
    <t>Erro a inserir na base</t>
  </si>
  <si>
    <t>Não</t>
  </si>
  <si>
    <t>A definir</t>
  </si>
  <si>
    <t>Pendente</t>
  </si>
  <si>
    <t>D-SIM-02</t>
  </si>
  <si>
    <t>Depreciação</t>
  </si>
  <si>
    <t>Serviço</t>
  </si>
  <si>
    <t>Fluxo afetado</t>
  </si>
  <si>
    <t>Relatório esperado</t>
  </si>
  <si>
    <t>Controles complementares</t>
  </si>
  <si>
    <t>Alternativa</t>
  </si>
  <si>
    <t>Bancos/custódia</t>
  </si>
  <si>
    <t>Caixa, dívida, investimentos</t>
  </si>
  <si>
    <t>SOC 1 Tipo 2</t>
  </si>
  <si>
    <t>Conciliação, acessos, exceções</t>
  </si>
  <si>
    <t>Confirmação e extratos</t>
  </si>
  <si>
    <t>Planejado</t>
  </si>
  <si>
    <t>Folha/benefícios</t>
  </si>
  <si>
    <t>Pessoal e provisões</t>
  </si>
  <si>
    <t>Cadastros, interfaces, aprovação</t>
  </si>
  <si>
    <t>Reexecução</t>
  </si>
  <si>
    <t>ERP/nuvem</t>
  </si>
  <si>
    <t>Registros financeiros</t>
  </si>
  <si>
    <t>SOC 1 Tipo 2 / SOC 2</t>
  </si>
  <si>
    <t>Acessos, mudanças, backups</t>
  </si>
  <si>
    <t>GITC e logs</t>
  </si>
  <si>
    <t>Logística</t>
  </si>
  <si>
    <t>Receita e estoques</t>
  </si>
  <si>
    <t>Tipo 2, se disponível</t>
  </si>
  <si>
    <t>Prova de entrega</t>
  </si>
  <si>
    <t>Documentos de transporte</t>
  </si>
  <si>
    <t>Tipo</t>
  </si>
  <si>
    <t>Confirmante</t>
  </si>
  <si>
    <t>Saldo R$ mil</t>
  </si>
  <si>
    <t>Data envio</t>
  </si>
  <si>
    <t>1º retorno</t>
  </si>
  <si>
    <t>2º pedido</t>
  </si>
  <si>
    <t>Alternativo</t>
  </si>
  <si>
    <t>CONF-001</t>
  </si>
  <si>
    <t>Bancos</t>
  </si>
  <si>
    <t>________________________________</t>
  </si>
  <si>
    <t>MODELO - NÃO ENVIADO</t>
  </si>
  <si>
    <t>CONF-002</t>
  </si>
  <si>
    <t>Clientes</t>
  </si>
  <si>
    <t>CONF-003</t>
  </si>
  <si>
    <t>Fornecedores</t>
  </si>
  <si>
    <t>CONF-004</t>
  </si>
  <si>
    <t>Advogados</t>
  </si>
  <si>
    <t>Tema</t>
  </si>
  <si>
    <t>Saldo / objeto</t>
  </si>
  <si>
    <t>Procedimento público</t>
  </si>
  <si>
    <t>Resultado</t>
  </si>
  <si>
    <t>Procedimento planejado</t>
  </si>
  <si>
    <t>Limitação</t>
  </si>
  <si>
    <t>Conciliação e política VLR</t>
  </si>
  <si>
    <t>Saldo conciliado</t>
  </si>
  <si>
    <t>Observação física, custo e corte</t>
  </si>
  <si>
    <t>Sem acesso físico</t>
  </si>
  <si>
    <t>Litígios</t>
  </si>
  <si>
    <t>Leitura Nota 19</t>
  </si>
  <si>
    <t>Material</t>
  </si>
  <si>
    <t>Cartas legais e atas</t>
  </si>
  <si>
    <t>Completude não confirmada</t>
  </si>
  <si>
    <t>Segmentos</t>
  </si>
  <si>
    <t>Brasil, AN e AS</t>
  </si>
  <si>
    <t>Leitura Nota 29</t>
  </si>
  <si>
    <t>Mudança em 2025</t>
  </si>
  <si>
    <t>Pacotes e eliminações</t>
  </si>
  <si>
    <t>Sem dados internos</t>
  </si>
  <si>
    <t>Código</t>
  </si>
  <si>
    <t>Ciclo</t>
  </si>
  <si>
    <t>Procedimento</t>
  </si>
  <si>
    <t>Classe</t>
  </si>
  <si>
    <t>PA-REC</t>
  </si>
  <si>
    <t>Receitas</t>
  </si>
  <si>
    <t>Reconciliação DRE/Nota 25; analítica mensal planejada; corte CIF/FOB; notas de crédito; JE testing.</t>
  </si>
  <si>
    <t>EP+PL</t>
  </si>
  <si>
    <t>PT 330 / PT 500-520</t>
  </si>
  <si>
    <t>Planejado / parcial público</t>
  </si>
  <si>
    <t>PA-DISP</t>
  </si>
  <si>
    <t>Disponibilidades</t>
  </si>
  <si>
    <t>Conciliação Nota 4; confirmações bancárias; extratos; transferências entre bancos; moeda/restrições.</t>
  </si>
  <si>
    <t>PA-EST</t>
  </si>
  <si>
    <t>Conciliação Nota 6; observação física; custo; VLR; obsolescência; corte.</t>
  </si>
  <si>
    <t>PA-IMO</t>
  </si>
  <si>
    <t>Conciliação Nota 10; adições, baixas, depreciação, obras, impairment; base sintética.</t>
  </si>
  <si>
    <t>EP+PL+SIM</t>
  </si>
  <si>
    <t>PA-PAS</t>
  </si>
  <si>
    <t>Passivos</t>
  </si>
  <si>
    <t>Dívidas, fornecedores, contingências; busca de passivos; confirmações; classificação.</t>
  </si>
  <si>
    <t>PA-ESTIM</t>
  </si>
  <si>
    <t>Estimativas</t>
  </si>
  <si>
    <t>Impairment, tributos diferidos, contingências e benefícios; método, premissas, dados, viés e sensibilidade.</t>
  </si>
  <si>
    <t>Documento</t>
  </si>
  <si>
    <t>Exercício</t>
  </si>
  <si>
    <t>Páginas</t>
  </si>
  <si>
    <t>URL/arquivo</t>
  </si>
  <si>
    <t>Acesso</t>
  </si>
  <si>
    <t>Uso</t>
  </si>
  <si>
    <t>FONTE-001</t>
  </si>
  <si>
    <t>Gerdau S.A.</t>
  </si>
  <si>
    <t>DF e relatório do auditor 2025</t>
  </si>
  <si>
    <t>2025</t>
  </si>
  <si>
    <t>pp.22-109</t>
  </si>
  <si>
    <t>Arquivo anexado</t>
  </si>
  <si>
    <t>25/10/2026</t>
  </si>
  <si>
    <t>Entrega 3</t>
  </si>
  <si>
    <t>FONTE-002</t>
  </si>
  <si>
    <t>CFC</t>
  </si>
  <si>
    <t>NBC TA 402, 450, 500, 501, 505, 510 e 520</t>
  </si>
  <si>
    <t>vigente</t>
  </si>
  <si>
    <t>Normas vigentes</t>
  </si>
  <si>
    <t>https://cfc.org.br/tecnica/normas-brasileiras-de-contabilidade/nbc-ta-de-auditoria-independente/</t>
  </si>
  <si>
    <t>FONTE-008</t>
  </si>
  <si>
    <t>Gerdau</t>
  </si>
  <si>
    <t>Relatório Anual 2025</t>
  </si>
  <si>
    <t>pp.1-146</t>
  </si>
  <si>
    <t>https://www2.gerdau.com.br/wp-content/uploads/2026/05/relatorio-anual-gerdau-2025-pt.pdf</t>
  </si>
  <si>
    <t>FONTE-009</t>
  </si>
  <si>
    <t>Gerdau RI</t>
  </si>
  <si>
    <t>Central de Resultados</t>
  </si>
  <si>
    <t>Página web</t>
  </si>
  <si>
    <t>https://ri.gerdau.com/informacoes-ao-mercado/central-de-resultados/</t>
  </si>
  <si>
    <t>Requisito</t>
  </si>
  <si>
    <t>Atendido?</t>
  </si>
  <si>
    <t>Evidência</t>
  </si>
  <si>
    <t>Observação</t>
  </si>
  <si>
    <t>7 PTs completos</t>
  </si>
  <si>
    <t>Sim</t>
  </si>
  <si>
    <t>DOCX/XLSX</t>
  </si>
  <si>
    <t>Revisado</t>
  </si>
  <si>
    <t>NBC TA e itens</t>
  </si>
  <si>
    <t>Objetivo, conta, afirmações e riscos</t>
  </si>
  <si>
    <t>População, fontes e seleção</t>
  </si>
  <si>
    <t>Procedimentos classificados</t>
  </si>
  <si>
    <t>Resultados, exceções, conclusão e limitações</t>
  </si>
  <si>
    <t>Identificação com traços</t>
  </si>
  <si>
    <t>Conciliações reproduzíveis</t>
  </si>
  <si>
    <t>Analíticos com fórmulas</t>
  </si>
  <si>
    <t>Modelos de confirmação não enviados</t>
  </si>
  <si>
    <t>Programas dos seis ciclos</t>
  </si>
  <si>
    <t>Sem opinião própria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</si>
</sst>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3" width="24" customWidth="1"/>
    <col min="4" max="4" width="18" customWidth="1"/>
    <col min="5" max="5" width="28" customWidth="1"/>
    <col min="6" max="6" width="3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3104080</v>
      </c>
      <c r="C2" s="2">
        <v>3104080</v>
      </c>
      <c r="D2" s="2">
        <f t="shared" ref="D2:D9" si="0">B2-C2</f>
        <v>0</v>
      </c>
      <c r="E2" s="2" t="s">
        <v>7</v>
      </c>
      <c r="F2" s="2" t="s">
        <v>8</v>
      </c>
    </row>
    <row r="3" spans="1:6" x14ac:dyDescent="0.3">
      <c r="A3" s="2" t="s">
        <v>9</v>
      </c>
      <c r="B3" s="2">
        <v>6134744</v>
      </c>
      <c r="C3" s="2">
        <v>6134744</v>
      </c>
      <c r="D3" s="2">
        <f t="shared" si="0"/>
        <v>0</v>
      </c>
      <c r="E3" s="2" t="s">
        <v>10</v>
      </c>
      <c r="F3" s="2" t="s">
        <v>8</v>
      </c>
    </row>
    <row r="4" spans="1:6" x14ac:dyDescent="0.3">
      <c r="A4" s="2" t="s">
        <v>11</v>
      </c>
      <c r="B4" s="2">
        <v>14731081</v>
      </c>
      <c r="C4" s="2">
        <v>14731081</v>
      </c>
      <c r="D4" s="2">
        <f t="shared" si="0"/>
        <v>0</v>
      </c>
      <c r="E4" s="2" t="s">
        <v>12</v>
      </c>
      <c r="F4" s="2" t="s">
        <v>8</v>
      </c>
    </row>
    <row r="5" spans="1:6" ht="28.8" x14ac:dyDescent="0.3">
      <c r="A5" s="2" t="s">
        <v>13</v>
      </c>
      <c r="B5" s="2">
        <v>30640833</v>
      </c>
      <c r="C5" s="2">
        <v>30640833</v>
      </c>
      <c r="D5" s="2">
        <f t="shared" si="0"/>
        <v>0</v>
      </c>
      <c r="E5" s="2" t="s">
        <v>14</v>
      </c>
      <c r="F5" s="2" t="s">
        <v>15</v>
      </c>
    </row>
    <row r="6" spans="1:6" x14ac:dyDescent="0.3">
      <c r="A6" s="2" t="s">
        <v>16</v>
      </c>
      <c r="B6" s="2">
        <v>11995727</v>
      </c>
      <c r="C6" s="2">
        <v>11995727</v>
      </c>
      <c r="D6" s="2">
        <f t="shared" si="0"/>
        <v>0</v>
      </c>
      <c r="E6" s="2" t="s">
        <v>17</v>
      </c>
      <c r="F6" s="2" t="s">
        <v>18</v>
      </c>
    </row>
    <row r="7" spans="1:6" x14ac:dyDescent="0.3">
      <c r="A7" s="2" t="s">
        <v>19</v>
      </c>
      <c r="B7" s="2">
        <v>14182151</v>
      </c>
      <c r="C7" s="2">
        <v>14182151</v>
      </c>
      <c r="D7" s="2">
        <f t="shared" si="0"/>
        <v>0</v>
      </c>
      <c r="E7" s="2" t="s">
        <v>20</v>
      </c>
      <c r="F7" s="2" t="s">
        <v>8</v>
      </c>
    </row>
    <row r="8" spans="1:6" x14ac:dyDescent="0.3">
      <c r="A8" s="2" t="s">
        <v>21</v>
      </c>
      <c r="B8" s="2">
        <v>2292412</v>
      </c>
      <c r="C8" s="2">
        <v>2292412</v>
      </c>
      <c r="D8" s="2">
        <f t="shared" si="0"/>
        <v>0</v>
      </c>
      <c r="E8" s="2" t="s">
        <v>22</v>
      </c>
      <c r="F8" s="2" t="s">
        <v>23</v>
      </c>
    </row>
    <row r="9" spans="1:6" x14ac:dyDescent="0.3">
      <c r="A9" s="2" t="s">
        <v>24</v>
      </c>
      <c r="B9" s="2">
        <v>69858532</v>
      </c>
      <c r="C9" s="2">
        <v>69858532</v>
      </c>
      <c r="D9" s="2">
        <f t="shared" si="0"/>
        <v>0</v>
      </c>
      <c r="E9" s="2" t="s">
        <v>25</v>
      </c>
      <c r="F9" s="2" t="s">
        <v>26</v>
      </c>
    </row>
  </sheetData>
  <autoFilter ref="A1:F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4" width="20" customWidth="1"/>
    <col min="5" max="5" width="18" customWidth="1"/>
    <col min="6" max="6" width="20" customWidth="1"/>
    <col min="7" max="7" width="16" customWidth="1"/>
    <col min="8" max="8" width="48" customWidth="1"/>
  </cols>
  <sheetData>
    <row r="1" spans="1:8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3">
      <c r="A2" s="2" t="s">
        <v>24</v>
      </c>
      <c r="B2" s="3">
        <v>69858532</v>
      </c>
      <c r="C2" s="3">
        <v>68150000</v>
      </c>
      <c r="D2" s="2">
        <f>B2-C2</f>
        <v>1708532</v>
      </c>
      <c r="E2" s="4">
        <f>IFERROR(D2/C2,0)</f>
        <v>2.5070168745414526E-2</v>
      </c>
      <c r="F2" s="2">
        <f>MAX(ABS(C2)*10%,349293)</f>
        <v>6815000</v>
      </c>
      <c r="G2" s="2" t="str">
        <f>IF(ABS(D2)&gt;F2,"Sim","Não")</f>
        <v>Não</v>
      </c>
      <c r="H2" s="2" t="s">
        <v>35</v>
      </c>
    </row>
    <row r="3" spans="1:8" x14ac:dyDescent="0.3">
      <c r="A3" s="2" t="s">
        <v>11</v>
      </c>
      <c r="B3" s="3">
        <v>14731081</v>
      </c>
      <c r="C3" s="3">
        <v>16505000</v>
      </c>
      <c r="D3" s="2">
        <f>B3-C3</f>
        <v>-1773919</v>
      </c>
      <c r="E3" s="4">
        <f>IFERROR(D3/C3,0)</f>
        <v>-0.10747767343229324</v>
      </c>
      <c r="F3" s="2">
        <f>MAX(ABS(C3)*10%,349293)</f>
        <v>1650500</v>
      </c>
      <c r="G3" s="2" t="str">
        <f>IF(ABS(D3)&gt;F3,"Sim","Não")</f>
        <v>Sim</v>
      </c>
      <c r="H3" s="2" t="s">
        <v>35</v>
      </c>
    </row>
    <row r="4" spans="1:8" x14ac:dyDescent="0.3">
      <c r="A4" s="2" t="s">
        <v>13</v>
      </c>
      <c r="B4" s="3">
        <v>30640833</v>
      </c>
      <c r="C4" s="3">
        <v>29500000</v>
      </c>
      <c r="D4" s="2">
        <f>B4-C4</f>
        <v>1140833</v>
      </c>
      <c r="E4" s="4">
        <f>IFERROR(D4/C4,0)</f>
        <v>3.8672305084745763E-2</v>
      </c>
      <c r="F4" s="2">
        <f>MAX(ABS(C4)*10%,349293)</f>
        <v>2950000</v>
      </c>
      <c r="G4" s="2" t="str">
        <f>IF(ABS(D4)&gt;F4,"Sim","Não")</f>
        <v>Não</v>
      </c>
      <c r="H4" s="2" t="s">
        <v>35</v>
      </c>
    </row>
    <row r="5" spans="1:8" x14ac:dyDescent="0.3">
      <c r="A5" s="2" t="s">
        <v>36</v>
      </c>
      <c r="B5" s="3">
        <v>2524447</v>
      </c>
      <c r="C5" s="3">
        <v>5464000</v>
      </c>
      <c r="D5" s="2">
        <f>B5-C5</f>
        <v>-2939553</v>
      </c>
      <c r="E5" s="4">
        <f>IFERROR(D5/C5,0)</f>
        <v>-0.53798554172767199</v>
      </c>
      <c r="F5" s="2">
        <f>MAX(ABS(C5)*10%,349293)</f>
        <v>546400</v>
      </c>
      <c r="G5" s="2" t="str">
        <f>IF(ABS(D5)&gt;F5,"Sim","Não")</f>
        <v>Sim</v>
      </c>
      <c r="H5" s="2" t="s">
        <v>35</v>
      </c>
    </row>
  </sheetData>
  <autoFilter ref="A1:H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3" width="22" customWidth="1"/>
    <col min="4" max="4" width="45" customWidth="1"/>
    <col min="5" max="5" width="18" customWidth="1"/>
    <col min="6" max="6" width="16" customWidth="1"/>
    <col min="7" max="7" width="22" customWidth="1"/>
    <col min="8" max="8" width="32" customWidth="1"/>
    <col min="9" max="9" width="18" customWidth="1"/>
  </cols>
  <sheetData>
    <row r="1" spans="1:9" x14ac:dyDescent="0.3">
      <c r="A1" s="1" t="s">
        <v>37</v>
      </c>
      <c r="B1" s="1" t="s">
        <v>38</v>
      </c>
      <c r="C1" s="1" t="s">
        <v>0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3">
      <c r="A2" s="2" t="s">
        <v>45</v>
      </c>
      <c r="B2" s="2" t="s">
        <v>46</v>
      </c>
      <c r="C2" s="2" t="s">
        <v>47</v>
      </c>
      <c r="D2" s="2" t="s">
        <v>48</v>
      </c>
      <c r="E2" s="2">
        <v>0</v>
      </c>
      <c r="F2" s="2" t="s">
        <v>47</v>
      </c>
      <c r="G2" s="2">
        <f>ABS(E2)/349293</f>
        <v>0</v>
      </c>
      <c r="H2" s="2" t="s">
        <v>49</v>
      </c>
      <c r="I2" s="2" t="s">
        <v>50</v>
      </c>
    </row>
    <row r="3" spans="1:9" x14ac:dyDescent="0.3">
      <c r="A3" s="2" t="s">
        <v>51</v>
      </c>
      <c r="B3" s="2" t="s">
        <v>52</v>
      </c>
      <c r="C3" s="2" t="s">
        <v>13</v>
      </c>
      <c r="D3" s="2" t="s">
        <v>53</v>
      </c>
      <c r="E3" s="2"/>
      <c r="F3" s="2" t="s">
        <v>54</v>
      </c>
      <c r="G3" s="2"/>
      <c r="H3" s="2" t="s">
        <v>55</v>
      </c>
      <c r="I3" s="2" t="s">
        <v>56</v>
      </c>
    </row>
    <row r="4" spans="1:9" x14ac:dyDescent="0.3">
      <c r="A4" s="2" t="s">
        <v>57</v>
      </c>
      <c r="B4" s="2" t="s">
        <v>52</v>
      </c>
      <c r="C4" s="2" t="s">
        <v>58</v>
      </c>
      <c r="D4" s="2" t="s">
        <v>53</v>
      </c>
      <c r="E4" s="2"/>
      <c r="F4" s="2" t="s">
        <v>54</v>
      </c>
      <c r="G4" s="2"/>
      <c r="H4" s="2" t="s">
        <v>55</v>
      </c>
      <c r="I4" s="2" t="s">
        <v>56</v>
      </c>
    </row>
  </sheetData>
  <autoFilter ref="A1:I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30" customWidth="1"/>
    <col min="3" max="3" width="26" customWidth="1"/>
    <col min="4" max="4" width="45" customWidth="1"/>
    <col min="5" max="5" width="40" customWidth="1"/>
    <col min="6" max="6" width="18" customWidth="1"/>
  </cols>
  <sheetData>
    <row r="1" spans="1:6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44</v>
      </c>
    </row>
    <row r="2" spans="1:6" x14ac:dyDescent="0.3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</row>
    <row r="3" spans="1:6" x14ac:dyDescent="0.3">
      <c r="A3" s="2" t="s">
        <v>70</v>
      </c>
      <c r="B3" s="2" t="s">
        <v>71</v>
      </c>
      <c r="C3" s="2" t="s">
        <v>66</v>
      </c>
      <c r="D3" s="2" t="s">
        <v>72</v>
      </c>
      <c r="E3" s="2" t="s">
        <v>73</v>
      </c>
      <c r="F3" s="2" t="s">
        <v>69</v>
      </c>
    </row>
    <row r="4" spans="1:6" x14ac:dyDescent="0.3">
      <c r="A4" s="2" t="s">
        <v>74</v>
      </c>
      <c r="B4" s="2" t="s">
        <v>75</v>
      </c>
      <c r="C4" s="2" t="s">
        <v>76</v>
      </c>
      <c r="D4" s="2" t="s">
        <v>77</v>
      </c>
      <c r="E4" s="2" t="s">
        <v>78</v>
      </c>
      <c r="F4" s="2" t="s">
        <v>69</v>
      </c>
    </row>
    <row r="5" spans="1:6" x14ac:dyDescent="0.3">
      <c r="A5" s="2" t="s">
        <v>79</v>
      </c>
      <c r="B5" s="2" t="s">
        <v>80</v>
      </c>
      <c r="C5" s="2" t="s">
        <v>81</v>
      </c>
      <c r="D5" s="2" t="s">
        <v>82</v>
      </c>
      <c r="E5" s="2" t="s">
        <v>83</v>
      </c>
      <c r="F5" s="2" t="s">
        <v>69</v>
      </c>
    </row>
  </sheetData>
  <autoFilter ref="A1:F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30" customWidth="1"/>
    <col min="4" max="8" width="18" customWidth="1"/>
    <col min="9" max="9" width="35" customWidth="1"/>
    <col min="10" max="10" width="25" customWidth="1"/>
  </cols>
  <sheetData>
    <row r="1" spans="1:10" x14ac:dyDescent="0.3">
      <c r="A1" s="1" t="s">
        <v>37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3</v>
      </c>
      <c r="I1" s="1" t="s">
        <v>90</v>
      </c>
      <c r="J1" s="1" t="s">
        <v>44</v>
      </c>
    </row>
    <row r="2" spans="1:10" ht="28.8" x14ac:dyDescent="0.3">
      <c r="A2" s="2" t="s">
        <v>91</v>
      </c>
      <c r="B2" s="2" t="s">
        <v>92</v>
      </c>
      <c r="C2" s="2" t="s">
        <v>93</v>
      </c>
      <c r="D2" s="2"/>
      <c r="E2" s="2"/>
      <c r="F2" s="2"/>
      <c r="G2" s="2"/>
      <c r="H2" s="2"/>
      <c r="I2" s="2"/>
      <c r="J2" s="2" t="s">
        <v>94</v>
      </c>
    </row>
    <row r="3" spans="1:10" ht="28.8" x14ac:dyDescent="0.3">
      <c r="A3" s="2" t="s">
        <v>95</v>
      </c>
      <c r="B3" s="2" t="s">
        <v>96</v>
      </c>
      <c r="C3" s="2" t="s">
        <v>93</v>
      </c>
      <c r="D3" s="2"/>
      <c r="E3" s="2"/>
      <c r="F3" s="2"/>
      <c r="G3" s="2"/>
      <c r="H3" s="2"/>
      <c r="I3" s="2"/>
      <c r="J3" s="2" t="s">
        <v>94</v>
      </c>
    </row>
    <row r="4" spans="1:10" ht="28.8" x14ac:dyDescent="0.3">
      <c r="A4" s="2" t="s">
        <v>97</v>
      </c>
      <c r="B4" s="2" t="s">
        <v>98</v>
      </c>
      <c r="C4" s="2" t="s">
        <v>93</v>
      </c>
      <c r="D4" s="2"/>
      <c r="E4" s="2"/>
      <c r="F4" s="2"/>
      <c r="G4" s="2"/>
      <c r="H4" s="2"/>
      <c r="I4" s="2"/>
      <c r="J4" s="2" t="s">
        <v>94</v>
      </c>
    </row>
    <row r="5" spans="1:10" ht="28.8" x14ac:dyDescent="0.3">
      <c r="A5" s="2" t="s">
        <v>99</v>
      </c>
      <c r="B5" s="2" t="s">
        <v>100</v>
      </c>
      <c r="C5" s="2" t="s">
        <v>93</v>
      </c>
      <c r="D5" s="2"/>
      <c r="E5" s="2"/>
      <c r="F5" s="2"/>
      <c r="G5" s="2"/>
      <c r="H5" s="2"/>
      <c r="I5" s="2"/>
      <c r="J5" s="2" t="s">
        <v>94</v>
      </c>
    </row>
  </sheetData>
  <autoFilter ref="A1:J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3" width="42" customWidth="1"/>
    <col min="4" max="4" width="35" customWidth="1"/>
    <col min="5" max="5" width="45" customWidth="1"/>
    <col min="6" max="6" width="35" customWidth="1"/>
  </cols>
  <sheetData>
    <row r="1" spans="1: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 x14ac:dyDescent="0.3">
      <c r="A2" s="2" t="s">
        <v>11</v>
      </c>
      <c r="B2" s="2">
        <v>14731081</v>
      </c>
      <c r="C2" s="2" t="s">
        <v>107</v>
      </c>
      <c r="D2" s="2" t="s">
        <v>108</v>
      </c>
      <c r="E2" s="2" t="s">
        <v>109</v>
      </c>
      <c r="F2" s="2" t="s">
        <v>110</v>
      </c>
    </row>
    <row r="3" spans="1:6" x14ac:dyDescent="0.3">
      <c r="A3" s="2" t="s">
        <v>111</v>
      </c>
      <c r="B3" s="2">
        <v>2292412</v>
      </c>
      <c r="C3" s="2" t="s">
        <v>112</v>
      </c>
      <c r="D3" s="2" t="s">
        <v>113</v>
      </c>
      <c r="E3" s="2" t="s">
        <v>114</v>
      </c>
      <c r="F3" s="2" t="s">
        <v>115</v>
      </c>
    </row>
    <row r="4" spans="1:6" x14ac:dyDescent="0.3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 t="s">
        <v>121</v>
      </c>
    </row>
  </sheetData>
  <autoFilter ref="A1:F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2" customWidth="1"/>
    <col min="3" max="3" width="75" customWidth="1"/>
    <col min="4" max="4" width="18" customWidth="1"/>
    <col min="5" max="6" width="28" customWidth="1"/>
  </cols>
  <sheetData>
    <row r="1" spans="1:6" x14ac:dyDescent="0.3">
      <c r="A1" s="1" t="s">
        <v>122</v>
      </c>
      <c r="B1" s="1" t="s">
        <v>123</v>
      </c>
      <c r="C1" s="1" t="s">
        <v>124</v>
      </c>
      <c r="D1" s="1" t="s">
        <v>125</v>
      </c>
      <c r="E1" s="1" t="s">
        <v>4</v>
      </c>
      <c r="F1" s="1" t="s">
        <v>44</v>
      </c>
    </row>
    <row r="2" spans="1:6" ht="28.8" x14ac:dyDescent="0.3">
      <c r="A2" s="2" t="s">
        <v>126</v>
      </c>
      <c r="B2" s="2" t="s">
        <v>127</v>
      </c>
      <c r="C2" s="2" t="s">
        <v>128</v>
      </c>
      <c r="D2" s="2" t="s">
        <v>129</v>
      </c>
      <c r="E2" s="2" t="s">
        <v>130</v>
      </c>
      <c r="F2" s="2" t="s">
        <v>131</v>
      </c>
    </row>
    <row r="3" spans="1:6" ht="28.8" x14ac:dyDescent="0.3">
      <c r="A3" s="2" t="s">
        <v>132</v>
      </c>
      <c r="B3" s="2" t="s">
        <v>133</v>
      </c>
      <c r="C3" s="2" t="s">
        <v>134</v>
      </c>
      <c r="D3" s="2" t="s">
        <v>129</v>
      </c>
      <c r="E3" s="2" t="s">
        <v>130</v>
      </c>
      <c r="F3" s="2" t="s">
        <v>131</v>
      </c>
    </row>
    <row r="4" spans="1:6" x14ac:dyDescent="0.3">
      <c r="A4" s="2" t="s">
        <v>135</v>
      </c>
      <c r="B4" s="2" t="s">
        <v>11</v>
      </c>
      <c r="C4" s="2" t="s">
        <v>136</v>
      </c>
      <c r="D4" s="2" t="s">
        <v>129</v>
      </c>
      <c r="E4" s="2" t="s">
        <v>130</v>
      </c>
      <c r="F4" s="2" t="s">
        <v>131</v>
      </c>
    </row>
    <row r="5" spans="1:6" x14ac:dyDescent="0.3">
      <c r="A5" s="2" t="s">
        <v>137</v>
      </c>
      <c r="B5" s="2" t="s">
        <v>13</v>
      </c>
      <c r="C5" s="2" t="s">
        <v>138</v>
      </c>
      <c r="D5" s="2" t="s">
        <v>139</v>
      </c>
      <c r="E5" s="2" t="s">
        <v>130</v>
      </c>
      <c r="F5" s="2" t="s">
        <v>131</v>
      </c>
    </row>
    <row r="6" spans="1:6" x14ac:dyDescent="0.3">
      <c r="A6" s="2" t="s">
        <v>140</v>
      </c>
      <c r="B6" s="2" t="s">
        <v>141</v>
      </c>
      <c r="C6" s="2" t="s">
        <v>142</v>
      </c>
      <c r="D6" s="2" t="s">
        <v>129</v>
      </c>
      <c r="E6" s="2" t="s">
        <v>130</v>
      </c>
      <c r="F6" s="2" t="s">
        <v>131</v>
      </c>
    </row>
    <row r="7" spans="1:6" ht="28.8" x14ac:dyDescent="0.3">
      <c r="A7" s="2" t="s">
        <v>143</v>
      </c>
      <c r="B7" s="2" t="s">
        <v>144</v>
      </c>
      <c r="C7" s="2" t="s">
        <v>145</v>
      </c>
      <c r="D7" s="2" t="s">
        <v>129</v>
      </c>
      <c r="E7" s="2" t="s">
        <v>130</v>
      </c>
      <c r="F7" s="2" t="s">
        <v>131</v>
      </c>
    </row>
  </sheetData>
  <autoFilter ref="A1:F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50" customWidth="1"/>
    <col min="4" max="4" width="16" customWidth="1"/>
    <col min="5" max="5" width="18" customWidth="1"/>
    <col min="6" max="6" width="80" customWidth="1"/>
    <col min="7" max="8" width="18" customWidth="1"/>
  </cols>
  <sheetData>
    <row r="1" spans="1:8" x14ac:dyDescent="0.3">
      <c r="A1" s="1" t="s">
        <v>37</v>
      </c>
      <c r="B1" s="1" t="s">
        <v>38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</row>
    <row r="2" spans="1:8" x14ac:dyDescent="0.3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  <c r="G2" s="2" t="s">
        <v>158</v>
      </c>
      <c r="H2" s="2" t="s">
        <v>159</v>
      </c>
    </row>
    <row r="3" spans="1:8" ht="28.8" x14ac:dyDescent="0.3">
      <c r="A3" s="2" t="s">
        <v>160</v>
      </c>
      <c r="B3" s="2" t="s">
        <v>161</v>
      </c>
      <c r="C3" s="2" t="s">
        <v>162</v>
      </c>
      <c r="D3" s="2" t="s">
        <v>163</v>
      </c>
      <c r="E3" s="2" t="s">
        <v>164</v>
      </c>
      <c r="F3" s="2" t="s">
        <v>165</v>
      </c>
      <c r="G3" s="2" t="s">
        <v>158</v>
      </c>
      <c r="H3" s="2" t="s">
        <v>159</v>
      </c>
    </row>
    <row r="4" spans="1:8" ht="28.8" x14ac:dyDescent="0.3">
      <c r="A4" s="2" t="s">
        <v>166</v>
      </c>
      <c r="B4" s="2" t="s">
        <v>167</v>
      </c>
      <c r="C4" s="2" t="s">
        <v>168</v>
      </c>
      <c r="D4" s="2" t="s">
        <v>155</v>
      </c>
      <c r="E4" s="2" t="s">
        <v>169</v>
      </c>
      <c r="F4" s="2" t="s">
        <v>170</v>
      </c>
      <c r="G4" s="2" t="s">
        <v>158</v>
      </c>
      <c r="H4" s="2" t="s">
        <v>159</v>
      </c>
    </row>
    <row r="5" spans="1:8" x14ac:dyDescent="0.3">
      <c r="A5" s="2" t="s">
        <v>171</v>
      </c>
      <c r="B5" s="2" t="s">
        <v>172</v>
      </c>
      <c r="C5" s="2" t="s">
        <v>173</v>
      </c>
      <c r="D5" s="2" t="s">
        <v>163</v>
      </c>
      <c r="E5" s="2" t="s">
        <v>174</v>
      </c>
      <c r="F5" s="2" t="s">
        <v>175</v>
      </c>
      <c r="G5" s="2" t="s">
        <v>158</v>
      </c>
      <c r="H5" s="2" t="s">
        <v>159</v>
      </c>
    </row>
  </sheetData>
  <autoFilter ref="A1:H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" width="16" customWidth="1"/>
    <col min="3" max="4" width="35" customWidth="1"/>
  </cols>
  <sheetData>
    <row r="1" spans="1:4" x14ac:dyDescent="0.3">
      <c r="A1" s="1" t="s">
        <v>176</v>
      </c>
      <c r="B1" s="1" t="s">
        <v>177</v>
      </c>
      <c r="C1" s="1" t="s">
        <v>178</v>
      </c>
      <c r="D1" s="1" t="s">
        <v>179</v>
      </c>
    </row>
    <row r="2" spans="1:4" x14ac:dyDescent="0.3">
      <c r="A2" s="2" t="s">
        <v>180</v>
      </c>
      <c r="B2" s="2" t="s">
        <v>181</v>
      </c>
      <c r="C2" s="2" t="s">
        <v>182</v>
      </c>
      <c r="D2" s="2" t="s">
        <v>183</v>
      </c>
    </row>
    <row r="3" spans="1:4" x14ac:dyDescent="0.3">
      <c r="A3" s="2" t="s">
        <v>184</v>
      </c>
      <c r="B3" s="2" t="s">
        <v>181</v>
      </c>
      <c r="C3" s="2" t="s">
        <v>182</v>
      </c>
      <c r="D3" s="2" t="s">
        <v>183</v>
      </c>
    </row>
    <row r="4" spans="1:4" x14ac:dyDescent="0.3">
      <c r="A4" s="2" t="s">
        <v>185</v>
      </c>
      <c r="B4" s="2" t="s">
        <v>181</v>
      </c>
      <c r="C4" s="2" t="s">
        <v>182</v>
      </c>
      <c r="D4" s="2" t="s">
        <v>183</v>
      </c>
    </row>
    <row r="5" spans="1:4" x14ac:dyDescent="0.3">
      <c r="A5" s="2" t="s">
        <v>186</v>
      </c>
      <c r="B5" s="2" t="s">
        <v>181</v>
      </c>
      <c r="C5" s="2" t="s">
        <v>182</v>
      </c>
      <c r="D5" s="2" t="s">
        <v>183</v>
      </c>
    </row>
    <row r="6" spans="1:4" x14ac:dyDescent="0.3">
      <c r="A6" s="2" t="s">
        <v>187</v>
      </c>
      <c r="B6" s="2" t="s">
        <v>181</v>
      </c>
      <c r="C6" s="2" t="s">
        <v>182</v>
      </c>
      <c r="D6" s="2" t="s">
        <v>183</v>
      </c>
    </row>
    <row r="7" spans="1:4" x14ac:dyDescent="0.3">
      <c r="A7" s="2" t="s">
        <v>188</v>
      </c>
      <c r="B7" s="2" t="s">
        <v>181</v>
      </c>
      <c r="C7" s="2" t="s">
        <v>182</v>
      </c>
      <c r="D7" s="2" t="s">
        <v>183</v>
      </c>
    </row>
    <row r="8" spans="1:4" x14ac:dyDescent="0.3">
      <c r="A8" s="2" t="s">
        <v>189</v>
      </c>
      <c r="B8" s="2" t="s">
        <v>181</v>
      </c>
      <c r="C8" s="2" t="s">
        <v>182</v>
      </c>
      <c r="D8" s="2" t="s">
        <v>183</v>
      </c>
    </row>
    <row r="9" spans="1:4" x14ac:dyDescent="0.3">
      <c r="A9" s="2" t="s">
        <v>190</v>
      </c>
      <c r="B9" s="2" t="s">
        <v>181</v>
      </c>
      <c r="C9" s="2" t="s">
        <v>182</v>
      </c>
      <c r="D9" s="2" t="s">
        <v>183</v>
      </c>
    </row>
    <row r="10" spans="1:4" x14ac:dyDescent="0.3">
      <c r="A10" s="2" t="s">
        <v>191</v>
      </c>
      <c r="B10" s="2" t="s">
        <v>181</v>
      </c>
      <c r="C10" s="2" t="s">
        <v>182</v>
      </c>
      <c r="D10" s="2" t="s">
        <v>183</v>
      </c>
    </row>
    <row r="11" spans="1:4" x14ac:dyDescent="0.3">
      <c r="A11" s="2" t="s">
        <v>192</v>
      </c>
      <c r="B11" s="2" t="s">
        <v>181</v>
      </c>
      <c r="C11" s="2" t="s">
        <v>182</v>
      </c>
      <c r="D11" s="2" t="s">
        <v>183</v>
      </c>
    </row>
    <row r="12" spans="1:4" x14ac:dyDescent="0.3">
      <c r="A12" s="2" t="s">
        <v>193</v>
      </c>
      <c r="B12" s="2" t="s">
        <v>181</v>
      </c>
      <c r="C12" s="2" t="s">
        <v>182</v>
      </c>
      <c r="D12" s="2" t="s">
        <v>183</v>
      </c>
    </row>
    <row r="13" spans="1:4" x14ac:dyDescent="0.3">
      <c r="A13" s="2" t="s">
        <v>194</v>
      </c>
      <c r="B13" s="2" t="s">
        <v>181</v>
      </c>
      <c r="C13" s="2" t="s">
        <v>182</v>
      </c>
      <c r="D13" s="2" t="s">
        <v>183</v>
      </c>
    </row>
  </sheetData>
  <autoFilter ref="A1:D13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Conciliacoes</vt:lpstr>
      <vt:lpstr>Analiticos</vt:lpstr>
      <vt:lpstr>Distorcoes</vt:lpstr>
      <vt:lpstr>Servicos_402</vt:lpstr>
      <vt:lpstr>Controle_Confirmacoes</vt:lpstr>
      <vt:lpstr>Itens_501</vt:lpstr>
      <vt:lpstr>Programas</vt:lpstr>
      <vt:lpstr>Fontes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Thaynara Kessia Espindola Pereira</cp:lastModifiedBy>
  <dcterms:created xsi:type="dcterms:W3CDTF">2026-10-25T20:45:07Z</dcterms:created>
  <dcterms:modified xsi:type="dcterms:W3CDTF">2026-10-25T21:32:55Z</dcterms:modified>
</cp:coreProperties>
</file>